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
    </mc:Choice>
  </mc:AlternateContent>
  <xr:revisionPtr revIDLastSave="0" documentId="8_{1C2DBFE0-4DB0-4A50-962A-EBE8C775646F}" xr6:coauthVersionLast="47" xr6:coauthVersionMax="47" xr10:uidLastSave="{00000000-0000-0000-0000-000000000000}"/>
  <bookViews>
    <workbookView xWindow="-108" yWindow="-108" windowWidth="23256" windowHeight="12456" activeTab="2" xr2:uid="{26D4546B-D2A1-4444-8EAF-A6228F96F0C1}"/>
  </bookViews>
  <sheets>
    <sheet name="Pivots" sheetId="6" r:id="rId1"/>
    <sheet name="Data" sheetId="2" r:id="rId2"/>
    <sheet name="Customer Center Report" sheetId="5" r:id="rId3"/>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70" r:id="rId4"/>
    <pivotCache cacheId="71" r:id="rId5"/>
    <pivotCache cacheId="72" r:id="rId6"/>
    <pivotCache cacheId="78" r:id="rId7"/>
    <pivotCache cacheId="262" r:id="rId8"/>
    <pivotCache cacheId="265" r:id="rId9"/>
    <pivotCache cacheId="268" r:id="rId10"/>
    <pivotCache cacheId="271" r:id="rId11"/>
    <pivotCache cacheId="274" r:id="rId12"/>
  </pivotCaches>
  <fileRecoveryPr repairLoad="1"/>
  <extLst>
    <ext xmlns:x14="http://schemas.microsoft.com/office/spreadsheetml/2009/9/main" uri="{876F7934-8845-4945-9796-88D515C7AA90}">
      <x14:pivotCaches>
        <pivotCache cacheId="7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2" i="5" l="1" a="1"/>
  <c r="R22" i="5" s="1"/>
  <c r="S21" i="5" a="1"/>
  <c r="S21" i="5" s="1"/>
  <c r="I18" i="6"/>
  <c r="E35" i="6" a="1"/>
  <c r="E35"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6" i="6" l="1"/>
  <c r="H36" i="6"/>
  <c r="H35" i="6"/>
  <c r="H39" i="6"/>
  <c r="H38" i="6"/>
  <c r="H37" i="6"/>
  <c r="I35" i="6"/>
  <c r="I39" i="6"/>
  <c r="I38" i="6"/>
  <c r="I3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A3349-5A68-4ED1-8ED0-BC0487DADF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8CEEF5-5378-4FDD-9081-3C0420A32B6A}"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F6B8DE27-CF45-4548-A6F4-611ADB18CA90}"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<sst xmlns="http://schemas.openxmlformats.org/spreadsheetml/2006/main" count="3162" uniqueCount="1078">
  <si>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</si>
  <si>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</si>
  <si>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</si>
  <si>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</si>
  <si>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</si>
  <si>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</si>
  <si>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</si>
  <si>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</si>
  <si>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</si>
  <si>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</si>
  <si>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</si>
  <si>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</si>
  <si>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</si>
  <si>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</si>
  <si>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</si>
  <si>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</si>
  <si>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</si>
  <si>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</si>
  <si>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</si>
  <si>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</si>
  <si>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</si>
  <si>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</si>
  <si>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</si>
  <si>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</si>
  <si>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</si>
  <si>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</si>
  <si>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</si>
  <si>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</si>
  <si>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</si>
  <si>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</si>
  <si>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</si>
  <si>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</si>
  <si>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</si>
  <si>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</si>
  <si>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</si>
  <si>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</si>
  <si>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</si>
  <si>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</si>
  <si>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</si>
  <si>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</si>
  <si>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</si>
  <si>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</si>
  <si>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</si>
  <si>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</si>
  <si>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</si>
  <si>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</si>
  <si>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</si>
  <si>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</si>
  <si>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</si>
  <si>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</si>
  <si>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</si>
  <si>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</si>
  <si>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</si>
  <si>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</si>
  <si>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</si>
  <si>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</si>
  <si>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</si>
  <si>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</si>
  <si>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</si>
  <si>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</si>
  <si>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</si>
  <si>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</si>
  <si>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</si>
  <si>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</si>
  <si>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</si>
  <si>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</si>
  <si>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</si>
  <si>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</si>
  <si>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</si>
  <si>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</si>
  <si>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</si>
  <si>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</si>
  <si>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</si>
  <si>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</si>
  <si>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</si>
  <si>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</si>
  <si>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</si>
  <si>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</si>
  <si>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</si>
  <si>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</si>
  <si>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</si>
  <si>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</si>
  <si>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</si>
  <si>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</si>
  <si>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</si>
  <si>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</si>
  <si>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</si>
  <si>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</si>
  <si>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</si>
  <si>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</si>
  <si>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</si>
  <si>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</si>
  <si>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</si>
  <si>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</si>
  <si>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</si>
  <si>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</si>
  <si>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</si>
  <si>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</si>
  <si>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</si>
  <si>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</si>
  <si>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</si>
  <si>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</si>
  <si>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</si>
  <si>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</si>
  <si>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</si>
  <si>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</si>
  <si>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</si>
  <si>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</si>
  <si>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</si>
  <si>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</si>
  <si>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</si>
  <si>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</si>
  <si>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</si>
  <si>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</si>
  <si>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</si>
  <si>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</si>
  <si>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</si>
  <si>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</si>
  <si>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</si>
  <si>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</si>
  <si>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</si>
  <si>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</si>
  <si>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</si>
  <si>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</si>
  <si>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</si>
  <si>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</si>
  <si>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</si>
  <si>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</si>
  <si>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</si>
  <si>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</si>
  <si>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</si>
  <si>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</si>
  <si>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</si>
  <si>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</si>
  <si>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</si>
  <si>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</si>
  <si>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</si>
  <si>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</si>
  <si>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</si>
  <si>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</si>
  <si>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</si>
  <si>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</si>
  <si>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</si>
  <si>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</si>
  <si>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</si>
  <si>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</si>
  <si>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</si>
  <si>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</si>
  <si>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</si>
  <si>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</si>
  <si>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</si>
  <si>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</si>
  <si>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</si>
  <si>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</si>
  <si>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</si>
  <si>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</si>
  <si>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</si>
  <si>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</si>
  <si>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</si>
  <si>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</si>
  <si>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</si>
  <si>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</si>
  <si>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</si>
  <si>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</si>
  <si>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</si>
  <si>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</si>
  <si>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</si>
  <si>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</si>
  <si>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</si>
  <si>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</si>
  <si>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</si>
  <si>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</si>
  <si>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</si>
  <si>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</si>
  <si>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</si>
  <si>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</si>
  <si>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</si>
  <si>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</si>
  <si>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</si>
  <si>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</si>
  <si>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</si>
  <si>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</si>
  <si>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</si>
  <si>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</si>
  <si>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</si>
  <si>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</si>
  <si>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</si>
  <si>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</si>
  <si>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</si>
  <si>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</si>
  <si>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</si>
  <si>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</si>
  <si>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</si>
  <si>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</si>
  <si>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</si>
  <si>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</si>
  <si>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</si>
  <si>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</si>
  <si>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</si>
  <si>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</si>
  <si>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</si>
  <si>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</si>
  <si>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</si>
  <si>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</si>
  <si>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</si>
  <si>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</si>
  <si>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</si>
  <si>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</si>
  <si>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</si>
  <si>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</si>
  <si>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</si>
  <si>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</si>
  <si>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</si>
  <si>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</si>
  <si>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</si>
  <si>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</si>
  <si>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</si>
  <si>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</si>
  <si>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</si>
  <si>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</si>
  <si>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</si>
  <si>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</si>
  <si>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</si>
  <si>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</si>
  <si>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</si>
  <si>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</si>
  <si>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</si>
  <si>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</si>
  <si>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</si>
  <si>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</si>
  <si>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</si>
  <si>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</si>
  <si>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</si>
  <si>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</si>
  <si>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</si>
  <si>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</si>
  <si>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</si>
  <si>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</si>
  <si>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</si>
  <si>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</si>
  <si>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</si>
  <si>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</si>
  <si>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</si>
  <si>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</si>
  <si>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</si>
  <si>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</si>
  <si>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</si>
  <si>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</si>
  <si>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</si>
  <si>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</si>
  <si>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</si>
  <si>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</si>
  <si>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</si>
  <si>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</si>
  <si>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</si>
  <si>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</si>
  <si>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</si>
  <si>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</si>
  <si>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</si>
  <si>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</si>
  <si>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</si>
  <si>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</si>
  <si>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</si>
  <si>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</si>
  <si>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</si>
  <si>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</si>
  <si>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</si>
  <si>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</si>
  <si>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</si>
  <si>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</si>
  <si>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</si>
  <si>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</si>
  <si>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</si>
  <si>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</si>
  <si>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</si>
  <si>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</si>
  <si>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</si>
  <si>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</si>
  <si>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</si>
  <si>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</si>
  <si>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</si>
  <si>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</si>
  <si>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</si>
  <si>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</si>
  <si>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</si>
  <si>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</si>
  <si>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</si>
  <si>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</si>
  <si>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</si>
  <si>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</si>
  <si>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</si>
  <si>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</si>
  <si>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</si>
  <si>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</si>
  <si>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</si>
  <si>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</si>
  <si>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</si>
  <si>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</si>
  <si>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</si>
  <si>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</si>
  <si>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</si>
  <si>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</si>
  <si>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</si>
  <si>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</si>
  <si>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</si>
  <si>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</si>
  <si>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</si>
  <si>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</si>
  <si>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</si>
  <si>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</si>
  <si>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</si>
  <si>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</si>
  <si>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</si>
  <si>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</si>
  <si>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</si>
  <si>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</si>
  <si>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</si>
  <si>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</si>
  <si>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</si>
  <si>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</si>
  <si>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</si>
  <si>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</si>
  <si>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</si>
  <si>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</si>
  <si>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</si>
  <si>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</si>
  <si>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</si>
  <si>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</si>
  <si>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</si>
  <si>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</si>
  <si>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</si>
  <si>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</si>
  <si>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</si>
  <si>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</si>
  <si>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</si>
  <si>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</si>
  <si>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</si>
  <si>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</si>
  <si>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</si>
  <si>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</si>
  <si>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</si>
  <si>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</si>
  <si>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</si>
  <si>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</si>
  <si>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</si>
  <si>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</si>
  <si>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</si>
  <si>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</si>
  <si>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</si>
  <si>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</si>
  <si>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</si>
  <si>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</si>
  <si>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</si>
  <si>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</si>
  <si>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</si>
  <si>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</si>
  <si>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</si>
  <si>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</si>
  <si>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</si>
  <si>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</si>
  <si>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</si>
  <si>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</si>
  <si>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</si>
  <si>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</si>
  <si>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</si>
  <si>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</si>
  <si>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</si>
  <si>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</si>
  <si>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</si>
  <si>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</si>
  <si>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</si>
  <si>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</si>
  <si>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</si>
  <si>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</si>
  <si>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</si>
  <si>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</si>
  <si>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</si>
  <si>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</si>
  <si>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</si>
  <si>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</si>
  <si>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</si>
  <si>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</si>
  <si>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</si>
  <si>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</si>
  <si>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</si>
  <si>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</si>
  <si>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</si>
  <si>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</si>
  <si>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</si>
  <si>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</si>
  <si>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</si>
  <si>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</si>
  <si>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</si>
  <si>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</si>
  <si>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</si>
  <si>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</si>
  <si>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</si>
  <si>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</si>
  <si>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</si>
  <si>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</si>
  <si>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</si>
  <si>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</si>
  <si>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</si>
  <si>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</si>
  <si>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</si>
  <si>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</si>
  <si>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</si>
  <si>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</si>
  <si>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</si>
  <si>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</si>
  <si>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</si>
  <si>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</si>
  <si>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</si>
  <si>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</si>
  <si>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</si>
  <si>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</si>
  <si>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</si>
  <si>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</si>
  <si>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</si>
  <si>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</si>
  <si>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</si>
  <si>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</si>
  <si>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</si>
  <si>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</si>
  <si>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</si>
  <si>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</si>
  <si>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</si>
  <si>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</si>
  <si>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</si>
  <si>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</si>
  <si>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</si>
  <si>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</si>
  <si>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</si>
  <si>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</si>
  <si>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</si>
  <si>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</si>
  <si>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</si>
  <si>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</si>
  <si>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</si>
  <si>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</si>
  <si>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</si>
  <si>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</si>
  <si>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</si>
  <si>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</si>
  <si>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</si>
  <si>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</si>
  <si>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</si>
  <si>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</si>
  <si>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</si>
  <si>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</si>
  <si>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</si>
  <si>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</si>
  <si>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</si>
  <si>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</si>
  <si>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</si>
  <si>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</si>
  <si>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</si>
  <si>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</si>
  <si>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</si>
  <si>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</si>
  <si>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</si>
  <si>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</si>
  <si>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</si>
  <si>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</si>
  <si>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</si>
  <si>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</si>
  <si>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</si>
  <si>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</si>
  <si>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</si>
  <si>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</si>
  <si>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</si>
  <si>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</si>
  <si>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</si>
  <si>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</si>
  <si>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</si>
  <si>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</si>
  <si>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</si>
  <si>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</si>
  <si>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</si>
  <si>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</si>
  <si>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</si>
  <si>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</si>
  <si>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</si>
  <si>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</si>
  <si>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</si>
  <si>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</si>
  <si>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</si>
  <si>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</si>
  <si>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</si>
  <si>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</si>
  <si>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</si>
  <si>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</si>
  <si>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</si>
  <si>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</si>
  <si>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</si>
  <si>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</si>
  <si>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</si>
  <si>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</si>
  <si>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</si>
  <si>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</si>
  <si>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</si>
  <si>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</si>
  <si>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</si>
  <si>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</si>
  <si>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</si>
  <si>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</si>
  <si>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</si>
  <si>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</si>
  <si>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</si>
  <si>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</si>
  <si>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</si>
  <si>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</si>
  <si>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</si>
  <si>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</si>
  <si>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</si>
  <si>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</si>
  <si>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</si>
  <si>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</si>
  <si>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</si>
  <si>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</si>
  <si>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</si>
  <si>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</si>
  <si>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</si>
  <si>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</si>
  <si>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</si>
  <si>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</si>
  <si>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</si>
  <si>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</si>
  <si>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</si>
  <si>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</si>
  <si>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</si>
  <si>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</si>
  <si>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</si>
  <si>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</si>
  <si>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</si>
  <si>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</si>
  <si>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</si>
  <si>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</si>
  <si>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</si>
  <si>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</si>
  <si>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</si>
  <si>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</si>
  <si>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</si>
  <si>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</si>
  <si>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</si>
  <si>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</si>
  <si>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</si>
  <si>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</si>
  <si>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</si>
  <si>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</si>
  <si>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</si>
  <si>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</si>
  <si>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</si>
  <si>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</si>
  <si>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</si>
  <si>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</si>
  <si>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</si>
  <si>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</si>
  <si>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</si>
  <si>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</si>
  <si>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</si>
  <si>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</si>
  <si>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</si>
  <si>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</si>
  <si>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</si>
  <si>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</si>
  <si>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</si>
  <si>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</si>
  <si>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</si>
  <si>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</si>
  <si>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</si>
  <si>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</si>
  <si>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</si>
  <si>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</si>
  <si>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</si>
  <si>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</si>
  <si>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</si>
  <si>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</si>
  <si>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</si>
  <si>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</si>
  <si>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</si>
  <si>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</si>
  <si>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</si>
  <si>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</si>
  <si>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</si>
  <si>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</si>
  <si>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</si>
  <si>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</si>
  <si>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</si>
  <si>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</si>
  <si>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</si>
  <si>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</si>
  <si>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</si>
  <si>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</si>
  <si>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</si>
  <si>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</si>
  <si>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</si>
  <si>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</si>
  <si>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</si>
  <si>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</si>
  <si>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</si>
  <si>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</si>
  <si>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</si>
  <si>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</si>
  <si>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</si>
  <si>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</si>
  <si>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</si>
  <si>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</si>
  <si>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</si>
  <si>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</si>
  <si>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</si>
  <si>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</si>
  <si>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</si>
  <si>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</si>
  <si>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</si>
  <si>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</si>
  <si>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</si>
  <si>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</si>
  <si>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</si>
  <si>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</si>
  <si>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</si>
  <si>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</si>
  <si>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</si>
  <si>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</si>
  <si>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</si>
  <si>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</si>
  <si>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</si>
  <si>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</si>
  <si>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</si>
  <si>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</si>
  <si>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</si>
  <si>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</si>
  <si>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</si>
  <si>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</si>
  <si>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</si>
  <si>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</si>
  <si>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</si>
  <si>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</si>
  <si>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</si>
  <si>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</si>
  <si>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</si>
  <si>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</si>
  <si>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</si>
  <si>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</si>
  <si>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</si>
  <si>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</si>
  <si>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</si>
  <si>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</si>
  <si>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</si>
  <si>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</si>
  <si>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</si>
  <si>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</si>
  <si>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</si>
  <si>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</si>
  <si>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</si>
  <si>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</si>
  <si>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</si>
  <si>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</si>
  <si>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</si>
  <si>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</si>
  <si>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</si>
  <si>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</si>
  <si>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</si>
  <si>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</si>
  <si>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</si>
  <si>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</si>
  <si>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</si>
  <si>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</si>
  <si>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</si>
  <si>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</si>
  <si>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</si>
  <si>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</si>
  <si>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</si>
  <si>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</si>
  <si>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</si>
  <si>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</si>
  <si>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</si>
  <si>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</si>
  <si>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</si>
  <si>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</si>
  <si>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</si>
  <si>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</si>
  <si>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</si>
  <si>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</si>
  <si>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</si>
  <si>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</si>
  <si>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</si>
  <si>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</si>
  <si>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</si>
  <si>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</si>
  <si>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</si>
  <si>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</si>
  <si>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</si>
  <si>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</si>
  <si>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</si>
  <si>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</si>
  <si>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</si>
  <si>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</si>
  <si>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</si>
  <si>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</si>
  <si>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</si>
  <si>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</si>
  <si>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</si>
  <si>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</si>
  <si>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</si>
  <si>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</si>
  <si>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</si>
  <si>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</si>
  <si>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</si>
  <si>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</si>
  <si>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</si>
  <si>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</si>
  <si>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</si>
  <si>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</si>
  <si>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</si>
  <si>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</si>
  <si>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</si>
  <si>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</si>
  <si>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</si>
  <si>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</si>
  <si>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</si>
  <si>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</si>
  <si>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</si>
  <si>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</si>
  <si>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</si>
  <si>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</si>
  <si>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</si>
  <si>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</si>
  <si>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</si>
  <si>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</si>
  <si>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</si>
  <si>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</si>
  <si>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</si>
  <si>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</si>
  <si>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</si>
  <si>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</si>
  <si>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</si>
  <si>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</si>
  <si>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</si>
  <si>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</si>
  <si>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</si>
  <si>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</si>
  <si>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</si>
  <si>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</si>
  <si>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</si>
  <si>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</si>
  <si>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</si>
  <si>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</si>
  <si>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</si>
  <si>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</si>
  <si>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</si>
  <si>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</si>
  <si>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</si>
  <si>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</si>
  <si>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</si>
  <si>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</si>
  <si>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</si>
  <si>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</si>
  <si>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</si>
  <si>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</si>
  <si>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</si>
  <si>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</si>
  <si>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</si>
  <si>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</si>
  <si>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</si>
  <si>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</si>
  <si>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</si>
  <si>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</si>
  <si>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</si>
  <si>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</si>
  <si>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</si>
  <si>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</si>
  <si>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</si>
  <si>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</si>
  <si>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</si>
  <si>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</si>
  <si>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</si>
  <si>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</si>
  <si>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</si>
  <si>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</si>
  <si>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</si>
  <si>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</si>
  <si>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</si>
  <si>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</si>
  <si>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</si>
  <si>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</si>
  <si>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</si>
  <si>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</si>
  <si>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</si>
  <si>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</si>
  <si>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</si>
  <si>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</si>
  <si>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</si>
  <si>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</si>
  <si>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</si>
  <si>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</si>
  <si>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</si>
  <si>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</si>
  <si>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</si>
  <si>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</si>
  <si>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</si>
  <si>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</si>
  <si>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</si>
  <si>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</si>
  <si>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</si>
  <si>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</si>
  <si>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</si>
  <si>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</si>
  <si>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</si>
  <si>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</si>
  <si>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</si>
  <si>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</si>
  <si>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</si>
  <si>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</si>
  <si>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</si>
  <si>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</si>
  <si>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</si>
  <si>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</si>
  <si>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</si>
  <si>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</si>
  <si>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</si>
  <si>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</si>
  <si>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</si>
  <si>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</si>
  <si>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</si>
  <si>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</si>
  <si>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</si>
  <si>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</si>
  <si>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</si>
  <si>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</si>
  <si>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</si>
  <si>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</si>
  <si>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</si>
  <si>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</si>
  <si>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</si>
  <si>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</si>
  <si>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</si>
  <si>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</si>
  <si>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</si>
  <si>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</si>
  <si>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</si>
  <si>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</si>
  <si>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</si>
  <si>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</si>
  <si>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</si>
  <si>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</si>
  <si>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</si>
  <si>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</si>
  <si>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</si>
  <si>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</si>
  <si>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</si>
  <si>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</si>
  <si>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</si>
  <si>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</si>
  <si>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</si>
  <si>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</si>
  <si>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</si>
  <si>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</si>
  <si>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</si>
  <si>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</si>
  <si>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</si>
  <si>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</si>
  <si>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</si>
  <si>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</si>
  <si>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</si>
  <si>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</si>
  <si>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</si>
  <si>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</si>
  <si>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</si>
  <si>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</si>
  <si>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</si>
  <si>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</si>
  <si>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</si>
  <si>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</si>
  <si>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</si>
  <si>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</si>
  <si>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</si>
  <si>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</si>
  <si>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</si>
  <si>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</si>
  <si>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</si>
  <si>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</si>
  <si>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</si>
  <si>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</si>
  <si>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</si>
  <si>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</si>
  <si>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</si>
  <si>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</si>
  <si>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</si>
  <si>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</si>
  <si>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</si>
  <si>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</si>
  <si>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</si>
  <si>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</si>
  <si>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</si>
  <si>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</si>
  <si>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</si>
  <si>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</si>
  <si>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</si>
  <si>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</si>
  <si>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</si>
  <si>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</si>
  <si>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</si>
  <si>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</si>
  <si>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</si>
  <si>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</si>
  <si>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</si>
  <si>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</si>
  <si>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</si>
  <si>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</si>
  <si>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</si>
  <si>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</si>
  <si>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</si>
  <si>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</si>
  <si>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</si>
  <si>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</si>
  <si>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</si>
  <si>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</si>
  <si>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</si>
  <si>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</si>
  <si>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</si>
  <si>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</si>
  <si>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</si>
  <si>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</si>
  <si>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</si>
  <si>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</si>
  <si>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</si>
  <si>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</si>
  <si>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</si>
  <si>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</si>
  <si>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</si>
  <si>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</si>
  <si>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</si>
  <si>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</si>
  <si>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</si>
  <si>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</si>
  <si>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</si>
  <si>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</si>
  <si>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</si>
  <si>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</si>
  <si>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</si>
  <si>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</si>
  <si>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</si>
  <si>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</si>
  <si>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</si>
  <si>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</si>
  <si>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</si>
  <si>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</si>
  <si>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</si>
  <si>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</si>
  <si>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</si>
  <si>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</si>
  <si>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</si>
  <si>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</si>
  <si>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</si>
  <si>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</si>
  <si>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</si>
  <si>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</si>
  <si>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</si>
  <si>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</si>
  <si>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</si>
  <si>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</si>
  <si>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</si>
  <si>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</si>
  <si>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</si>
  <si>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</si>
  <si>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</si>
  <si>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</si>
  <si>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</si>
  <si>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</si>
  <si>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</si>
  <si>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</si>
  <si>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</si>
  <si>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</si>
  <si>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</si>
  <si>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</si>
  <si>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</si>
  <si>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</si>
  <si>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</si>
  <si>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</si>
  <si>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</si>
  <si>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</si>
  <si>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</si>
  <si>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</si>
  <si>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</si>
  <si>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</si>
  <si>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</si>
  <si>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</si>
  <si>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</si>
  <si>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</si>
  <si>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</si>
  <si>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</si>
  <si>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</si>
  <si>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</si>
  <si>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</si>
  <si>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</si>
  <si>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</si>
  <si>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</si>
  <si>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</si>
  <si>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</si>
  <si>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</si>
  <si>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</si>
  <si>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</si>
  <si>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</si>
  <si>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</si>
  <si>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</si>
  <si>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</si>
  <si>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</si>
  <si>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</si>
  <si>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</si>
  <si>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</si>
  <si>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</si>
  <si>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</si>
  <si>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</si>
  <si>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</si>
  <si>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</si>
  <si>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</si>
  <si>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</si>
  <si>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</si>
  <si>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</si>
  <si>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</si>
  <si>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</si>
  <si>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</si>
  <si>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</si>
  <si>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</si>
  <si>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</si>
  <si>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</si>
  <si>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</si>
  <si>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</si>
  <si>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</si>
  <si>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</si>
  <si>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</si>
  <si>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</si>
  <si>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</si>
  <si>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</si>
  <si>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Day of week</t>
  </si>
  <si>
    <t>Duration Bucket</t>
  </si>
  <si>
    <t>Rating rounded</t>
  </si>
  <si>
    <t>Financial Year</t>
  </si>
  <si>
    <t xml:space="preserve"> </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</si>
  <si>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</si>
  <si>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</si>
  <si>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</si>
  <si>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</si>
  <si>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</si>
  <si>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</si>
  <si>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</si>
  <si>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</si>
  <si>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</si>
  <si>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</si>
  <si>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</si>
  <si>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</si>
  <si>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</si>
  <si>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</si>
  <si>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</si>
  <si>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</si>
  <si>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</si>
  <si>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</si>
  <si>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</si>
  <si>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</si>
  <si>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</si>
  <si>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</si>
  <si>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</si>
  <si>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</si>
  <si>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</si>
  <si>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</si>
  <si>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</si>
  <si>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Graphs</t>
  </si>
  <si>
    <t>Rep</t>
  </si>
  <si>
    <t>Call</t>
  </si>
  <si>
    <t>Amount</t>
  </si>
  <si>
    <t>Cel. Calls</t>
  </si>
  <si>
    <t>Cel.Amount</t>
  </si>
  <si>
    <t>Selected rep</t>
  </si>
  <si>
    <t>Column Labels</t>
  </si>
  <si>
    <t>Gender</t>
  </si>
  <si>
    <t>Total</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</si>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</sst>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409]d\-mmm\-yy;@"/>
    <numFmt numFmtId="165" formatCode="\$#,##0;\(\$#,##0\);\$#,##0"/>
    <numFmt numFmtId="166" formatCode="0.0"/>
    <numFmt numFmtId="167" formatCode="_-[$$-409]* #,##0.00_ ;_-[$$-409]* \-#,##0.00\ ;_-[$$-409]* &quot;-&quot;??_ ;_-@_ "/>
    <numFmt numFmtId="168" formatCode="\$\ #,###.0,\k"/>
  </numFmts>
  <fonts count="6"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theme="1"/>
      <name val="Arial"/>
      <family val="2"/>
      <scheme val="minor"/>
    </font>
    <font>
      <sz val="24"/>
      <color theme="8"/>
      <name val="Arial Black"/>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2">
    <xf numFmtId="0" fontId="0" fillId="0" borderId="0"/>
    <xf numFmtId="44" fontId="4" fillId="0" borderId="0" applyFont="0" applyFill="0" applyBorder="0" applyAlignment="0" applyProtection="0"/>
  </cellStyleXfs>
  <cellXfs count="4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0" fontId="0" fillId="4" borderId="0" xfId="0" applyFill="1" applyAlignment="1">
      <alignment horizontal="left"/>
    </xf>
    <xf numFmtId="168" fontId="0" fillId="0" borderId="0" xfId="0" applyNumberFormat="1"/>
    <xf numFmtId="0" fontId="0" fillId="0" borderId="0" xfId="0" applyAlignment="1">
      <alignment horizontal="left" indent="1"/>
    </xf>
    <xf numFmtId="0" fontId="0" fillId="5" borderId="0" xfId="0" applyFill="1" applyBorder="1"/>
    <xf numFmtId="167" fontId="0" fillId="5" borderId="0" xfId="1" applyNumberFormat="1" applyFont="1" applyFill="1" applyBorder="1"/>
    <xf numFmtId="0" fontId="0" fillId="5" borderId="10" xfId="0" applyFill="1" applyBorder="1"/>
    <xf numFmtId="0" fontId="0" fillId="5" borderId="14" xfId="0" applyFill="1" applyBorder="1"/>
    <xf numFmtId="0" fontId="0" fillId="5" borderId="13" xfId="0" applyFill="1" applyBorder="1" applyAlignment="1">
      <alignment horizontal="left" indent="1"/>
    </xf>
    <xf numFmtId="167" fontId="0" fillId="5" borderId="14" xfId="1" applyNumberFormat="1" applyFont="1" applyFill="1" applyBorder="1"/>
    <xf numFmtId="0" fontId="0" fillId="5" borderId="15" xfId="0" applyFill="1" applyBorder="1" applyAlignment="1">
      <alignment horizontal="left" indent="1"/>
    </xf>
    <xf numFmtId="167" fontId="0" fillId="5" borderId="16" xfId="1" applyNumberFormat="1" applyFont="1" applyFill="1" applyBorder="1"/>
    <xf numFmtId="167" fontId="0" fillId="5" borderId="17" xfId="1" applyNumberFormat="1" applyFont="1" applyFill="1" applyBorder="1"/>
    <xf numFmtId="0" fontId="1" fillId="5" borderId="11" xfId="0" applyFont="1" applyFill="1" applyBorder="1"/>
    <xf numFmtId="0" fontId="1" fillId="5" borderId="12" xfId="0" applyFont="1" applyFill="1" applyBorder="1"/>
    <xf numFmtId="0" fontId="1" fillId="5" borderId="13" xfId="0" applyFont="1" applyFill="1" applyBorder="1"/>
    <xf numFmtId="0" fontId="5" fillId="3" borderId="0" xfId="0" applyFont="1" applyFill="1"/>
  </cellXfs>
  <cellStyles count="2">
    <cellStyle name="Currency" xfId="1" builtinId="4"/>
    <cellStyle name="Normal" xfId="0" builtinId="0"/>
  </cellStyles>
  <dxfs count="18">
    <dxf>
      <fill>
        <patternFill>
          <bgColor theme="8" tint="0.39994506668294322"/>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8"/>
        </patternFill>
      </fill>
    </dxf>
    <dxf>
      <fill>
        <patternFill patternType="solid">
          <bgColor theme="9"/>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7"/>
    </tableStyle>
    <tableStyle name="Slicer Style 2" pivot="0" table="0" count="2" xr9:uid="{7763D9F1-8EFA-43E6-9A58-83362D74031E}"/>
  </tableStyles>
  <extLst>
    <ext xmlns:x14="http://schemas.microsoft.com/office/spreadsheetml/2009/9/main" uri="{46F421CA-312F-682f-3DD2-61675219B42D}">
      <x14:dxfs count="2">
        <dxf>
          <fill>
            <patternFill>
              <bgColor theme="0" tint="-0.24994659260841701"/>
            </patternFill>
          </fill>
        </dxf>
        <dxf>
          <font>
            <name val="Arial Black"/>
            <family val="2"/>
            <scheme val="none"/>
          </font>
        </dxf>
      </x14:dxfs>
    </ext>
    <ext xmlns:x14="http://schemas.microsoft.com/office/spreadsheetml/2009/9/main" uri="{EB79DEF2-80B8-43e5-95BD-54CBDDF9020C}">
      <x14:slicerStyles defaultSlicerStyle="SlicerStyleLight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PORTFOLIO.xlsx]Pivots!PivotTable10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Pivots!$E$17:$E$24</c:f>
              <c:strCache>
                <c:ptCount val="7"/>
                <c:pt idx="0">
                  <c:v>Sunday</c:v>
                </c:pt>
                <c:pt idx="1">
                  <c:v>Monday</c:v>
                </c:pt>
                <c:pt idx="2">
                  <c:v>Tuesday</c:v>
                </c:pt>
                <c:pt idx="3">
                  <c:v>Wednesday</c:v>
                </c:pt>
                <c:pt idx="4">
                  <c:v>Thursday</c:v>
                </c:pt>
                <c:pt idx="5">
                  <c:v>Friday</c:v>
                </c:pt>
                <c:pt idx="6">
                  <c:v>Saturday</c:v>
                </c:pt>
              </c:strCache>
            </c:strRef>
          </c:cat>
          <c:val>
            <c:numRef>
              <c:f>Pivots!$F$17:$F$24</c:f>
              <c:numCache>
                <c:formatCode>#,##0</c:formatCode>
                <c:ptCount val="7"/>
                <c:pt idx="0">
                  <c:v>121</c:v>
                </c:pt>
                <c:pt idx="1">
                  <c:v>110</c:v>
                </c:pt>
                <c:pt idx="2">
                  <c:v>110</c:v>
                </c:pt>
                <c:pt idx="3">
                  <c:v>124</c:v>
                </c:pt>
                <c:pt idx="4">
                  <c:v>110</c:v>
                </c:pt>
                <c:pt idx="5">
                  <c:v>112</c:v>
                </c:pt>
                <c:pt idx="6">
                  <c:v>127</c:v>
                </c:pt>
              </c:numCache>
            </c:numRef>
          </c:val>
          <c:extLst>
            <c:ext xmlns:c16="http://schemas.microsoft.com/office/drawing/2014/chart" uri="{C3380CC4-5D6E-409C-BE32-E72D297353CC}">
              <c16:uniqueId val="{00000000-229A-4438-AE06-B25576C35AC5}"/>
            </c:ext>
          </c:extLst>
        </c:ser>
        <c:dLbls>
          <c:showLegendKey val="0"/>
          <c:showVal val="0"/>
          <c:showCatName val="0"/>
          <c:showSerName val="0"/>
          <c:showPercent val="0"/>
          <c:showBubbleSize val="0"/>
        </c:dLbls>
        <c:gapWidth val="25"/>
        <c:axId val="1147310639"/>
        <c:axId val="1147309679"/>
      </c:barChart>
      <c:catAx>
        <c:axId val="1147310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309679"/>
        <c:crosses val="autoZero"/>
        <c:auto val="1"/>
        <c:lblAlgn val="ctr"/>
        <c:lblOffset val="100"/>
        <c:noMultiLvlLbl val="0"/>
      </c:catAx>
      <c:valAx>
        <c:axId val="1147309679"/>
        <c:scaling>
          <c:orientation val="minMax"/>
        </c:scaling>
        <c:delete val="1"/>
        <c:axPos val="b"/>
        <c:numFmt formatCode="#,##0" sourceLinked="1"/>
        <c:majorTickMark val="none"/>
        <c:minorTickMark val="none"/>
        <c:tickLblPos val="nextTo"/>
        <c:crossAx val="114731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PORTFOLIO.xlsx]Pivots!PivotTable9</c:name>
    <c:fmtId val="9"/>
  </c:pivotSource>
  <c:chart>
    <c:title>
      <c:tx>
        <c:rich>
          <a:bodyPr rot="0" spcFirstLastPara="1" vertOverflow="ellipsis" vert="horz" wrap="square" anchor="ctr" anchorCtr="1"/>
          <a:lstStyle/>
          <a:p>
            <a:pPr algn="l">
              <a:defRPr sz="1400" b="0" i="0" u="none" strike="noStrike" kern="1200" spc="0" baseline="0">
                <a:solidFill>
                  <a:schemeClr val="accent6">
                    <a:lumMod val="75000"/>
                  </a:schemeClr>
                </a:solidFill>
                <a:latin typeface="Arial Black" panose="020B0A04020102020204" pitchFamily="34" charset="0"/>
                <a:ea typeface="+mn-ea"/>
                <a:cs typeface="+mn-cs"/>
              </a:defRPr>
            </a:pPr>
            <a:r>
              <a:rPr lang="en-IN">
                <a:solidFill>
                  <a:schemeClr val="accent6">
                    <a:lumMod val="75000"/>
                  </a:schemeClr>
                </a:solidFill>
                <a:latin typeface="Arial Black" panose="020B0A04020102020204" pitchFamily="34" charset="0"/>
              </a:rPr>
              <a:t>CALL</a:t>
            </a:r>
            <a:r>
              <a:rPr lang="en-IN" baseline="0">
                <a:solidFill>
                  <a:schemeClr val="accent6">
                    <a:lumMod val="75000"/>
                  </a:schemeClr>
                </a:solidFill>
                <a:latin typeface="Arial Black" panose="020B0A04020102020204" pitchFamily="34" charset="0"/>
              </a:rPr>
              <a:t> TREND</a:t>
            </a:r>
            <a:endParaRPr lang="en-IN">
              <a:solidFill>
                <a:schemeClr val="accent6">
                  <a:lumMod val="75000"/>
                </a:schemeClr>
              </a:solidFill>
              <a:latin typeface="Arial Black" panose="020B0A04020102020204" pitchFamily="34" charset="0"/>
            </a:endParaRPr>
          </a:p>
        </c:rich>
      </c:tx>
      <c:layout>
        <c:manualLayout>
          <c:xMode val="edge"/>
          <c:yMode val="edge"/>
          <c:x val="2.8178947648919473E-2"/>
          <c:y val="3.4023674583645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accent6">
                  <a:lumMod val="7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alpha val="50000"/>
                </a:schemeClr>
              </a:gs>
              <a:gs pos="100000">
                <a:schemeClr val="accent6"/>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5"/>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Pivots!$C$16</c:f>
              <c:strCache>
                <c:ptCount val="1"/>
                <c:pt idx="0">
                  <c:v>Call Count2</c:v>
                </c:pt>
              </c:strCache>
            </c:strRef>
          </c:tx>
          <c:spPr>
            <a:gradFill>
              <a:gsLst>
                <a:gs pos="0">
                  <a:schemeClr val="accent6">
                    <a:lumMod val="60000"/>
                    <a:lumOff val="40000"/>
                    <a:alpha val="50000"/>
                  </a:schemeClr>
                </a:gs>
                <a:gs pos="100000">
                  <a:schemeClr val="accent6"/>
                </a:gs>
              </a:gsLst>
              <a:lin ang="16200000" scaled="0"/>
            </a:gra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69</c:v>
                </c:pt>
                <c:pt idx="1">
                  <c:v>55</c:v>
                </c:pt>
                <c:pt idx="2">
                  <c:v>125</c:v>
                </c:pt>
                <c:pt idx="3">
                  <c:v>113</c:v>
                </c:pt>
                <c:pt idx="4">
                  <c:v>61</c:v>
                </c:pt>
                <c:pt idx="5">
                  <c:v>56</c:v>
                </c:pt>
                <c:pt idx="6">
                  <c:v>47</c:v>
                </c:pt>
                <c:pt idx="7">
                  <c:v>38</c:v>
                </c:pt>
                <c:pt idx="8">
                  <c:v>63</c:v>
                </c:pt>
                <c:pt idx="9">
                  <c:v>99</c:v>
                </c:pt>
                <c:pt idx="10">
                  <c:v>49</c:v>
                </c:pt>
                <c:pt idx="11">
                  <c:v>39</c:v>
                </c:pt>
              </c:numCache>
            </c:numRef>
          </c:val>
          <c:extLst>
            <c:ext xmlns:c16="http://schemas.microsoft.com/office/drawing/2014/chart" uri="{C3380CC4-5D6E-409C-BE32-E72D297353CC}">
              <c16:uniqueId val="{00000000-2D90-4101-ACEA-41121B5AE3DE}"/>
            </c:ext>
          </c:extLst>
        </c:ser>
        <c:dLbls>
          <c:showLegendKey val="0"/>
          <c:showVal val="0"/>
          <c:showCatName val="0"/>
          <c:showSerName val="0"/>
          <c:showPercent val="0"/>
          <c:showBubbleSize val="0"/>
        </c:dLbls>
        <c:axId val="2128650943"/>
        <c:axId val="2128652863"/>
      </c:areaChart>
      <c:lineChart>
        <c:grouping val="standard"/>
        <c:varyColors val="0"/>
        <c:ser>
          <c:idx val="0"/>
          <c:order val="0"/>
          <c:tx>
            <c:strRef>
              <c:f>Pivots!$B$16</c:f>
              <c:strCache>
                <c:ptCount val="1"/>
                <c:pt idx="0">
                  <c:v>Call Count</c:v>
                </c:pt>
              </c:strCache>
            </c:strRef>
          </c:tx>
          <c:spPr>
            <a:ln w="28575" cap="rnd">
              <a:solidFill>
                <a:schemeClr val="accent6">
                  <a:lumMod val="75000"/>
                </a:schemeClr>
              </a:solidFill>
              <a:round/>
            </a:ln>
            <a:effectLst/>
          </c:spPr>
          <c:marker>
            <c:symbol val="circle"/>
            <c:size val="5"/>
            <c:spPr>
              <a:solidFill>
                <a:schemeClr val="bg1">
                  <a:lumMod val="95000"/>
                </a:schemeClr>
              </a:solidFill>
              <a:ln w="25400">
                <a:solidFill>
                  <a:schemeClr val="tx1"/>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69</c:v>
                </c:pt>
                <c:pt idx="1">
                  <c:v>55</c:v>
                </c:pt>
                <c:pt idx="2">
                  <c:v>125</c:v>
                </c:pt>
                <c:pt idx="3">
                  <c:v>113</c:v>
                </c:pt>
                <c:pt idx="4">
                  <c:v>61</c:v>
                </c:pt>
                <c:pt idx="5">
                  <c:v>56</c:v>
                </c:pt>
                <c:pt idx="6">
                  <c:v>47</c:v>
                </c:pt>
                <c:pt idx="7">
                  <c:v>38</c:v>
                </c:pt>
                <c:pt idx="8">
                  <c:v>63</c:v>
                </c:pt>
                <c:pt idx="9">
                  <c:v>99</c:v>
                </c:pt>
                <c:pt idx="10">
                  <c:v>49</c:v>
                </c:pt>
                <c:pt idx="11">
                  <c:v>39</c:v>
                </c:pt>
              </c:numCache>
            </c:numRef>
          </c:val>
          <c:smooth val="0"/>
          <c:extLst>
            <c:ext xmlns:c16="http://schemas.microsoft.com/office/drawing/2014/chart" uri="{C3380CC4-5D6E-409C-BE32-E72D297353CC}">
              <c16:uniqueId val="{00000001-2D90-4101-ACEA-41121B5AE3DE}"/>
            </c:ext>
          </c:extLst>
        </c:ser>
        <c:dLbls>
          <c:showLegendKey val="0"/>
          <c:showVal val="0"/>
          <c:showCatName val="0"/>
          <c:showSerName val="0"/>
          <c:showPercent val="0"/>
          <c:showBubbleSize val="0"/>
        </c:dLbls>
        <c:marker val="1"/>
        <c:smooth val="0"/>
        <c:axId val="2128650943"/>
        <c:axId val="2128652863"/>
      </c:lineChart>
      <c:catAx>
        <c:axId val="21286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52863"/>
        <c:crosses val="autoZero"/>
        <c:auto val="1"/>
        <c:lblAlgn val="ctr"/>
        <c:lblOffset val="100"/>
        <c:noMultiLvlLbl val="0"/>
      </c:catAx>
      <c:valAx>
        <c:axId val="2128652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65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solidFill>
                <a:latin typeface="Arial Black" panose="020B0A04020102020204" pitchFamily="34" charset="0"/>
                <a:ea typeface="+mn-ea"/>
                <a:cs typeface="+mn-cs"/>
              </a:defRPr>
            </a:pPr>
            <a:r>
              <a:rPr lang="en-IN" u="none">
                <a:solidFill>
                  <a:schemeClr val="accent5"/>
                </a:solidFill>
                <a:latin typeface="Arial Black" panose="020B0A04020102020204" pitchFamily="34" charset="0"/>
              </a:rPr>
              <a:t>CALLS</a:t>
            </a:r>
            <a:endParaRPr lang="en-IN">
              <a:solidFill>
                <a:schemeClr val="accent5"/>
              </a:solidFill>
              <a:latin typeface="Arial Black" panose="020B0A04020102020204" pitchFamily="34" charset="0"/>
            </a:endParaRPr>
          </a:p>
        </c:rich>
      </c:tx>
      <c:layout>
        <c:manualLayout>
          <c:xMode val="edge"/>
          <c:yMode val="edge"/>
          <c:x val="9.7196395499042826E-2"/>
          <c:y val="2.6935719866392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Arial Black" panose="020B0A04020102020204" pitchFamily="34" charset="0"/>
              <a:ea typeface="+mn-ea"/>
              <a:cs typeface="+mn-cs"/>
            </a:defRPr>
          </a:pPr>
          <a:endParaRPr lang="en-IN"/>
        </a:p>
      </c:txPr>
    </c:title>
    <c:autoTitleDeleted val="0"/>
    <c:plotArea>
      <c:layout>
        <c:manualLayout>
          <c:layoutTarget val="inner"/>
          <c:xMode val="edge"/>
          <c:yMode val="edge"/>
          <c:x val="0.20679875134701486"/>
          <c:y val="0.1209249450482152"/>
          <c:w val="0.71922464898182892"/>
          <c:h val="0.84575986434577599"/>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Pivots!$E$35:$E$39</c:f>
              <c:strCache>
                <c:ptCount val="5"/>
                <c:pt idx="0">
                  <c:v>R01</c:v>
                </c:pt>
                <c:pt idx="1">
                  <c:v>R02</c:v>
                </c:pt>
                <c:pt idx="2">
                  <c:v>R03</c:v>
                </c:pt>
                <c:pt idx="3">
                  <c:v>R04</c:v>
                </c:pt>
                <c:pt idx="4">
                  <c:v>R05</c:v>
                </c:pt>
              </c:strCache>
            </c:strRef>
          </c:cat>
          <c:val>
            <c:numRef>
              <c:f>Pivots!$F$35:$F$39</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3B8-4CB1-9572-39BC80F55A07}"/>
            </c:ext>
          </c:extLst>
        </c:ser>
        <c:ser>
          <c:idx val="1"/>
          <c:order val="1"/>
          <c:tx>
            <c:strRef>
              <c:f>Pivots!$H$34</c:f>
              <c:strCache>
                <c:ptCount val="1"/>
                <c:pt idx="0">
                  <c:v>Cel. Calls</c:v>
                </c:pt>
              </c:strCache>
            </c:strRef>
          </c:tx>
          <c:spPr>
            <a:gradFill flip="none" rotWithShape="1">
              <a:gsLst>
                <a:gs pos="0">
                  <a:schemeClr val="accent5">
                    <a:lumMod val="60000"/>
                    <a:lumOff val="40000"/>
                  </a:schemeClr>
                </a:gs>
                <a:gs pos="100000">
                  <a:schemeClr val="accent5"/>
                </a:gs>
              </a:gsLst>
              <a:path path="circle">
                <a:fillToRect r="100000" b="100000"/>
              </a:path>
              <a:tileRect l="-100000" t="-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Pivots!$H$35:$H$39</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3B8-4CB1-9572-39BC80F55A07}"/>
            </c:ext>
          </c:extLst>
        </c:ser>
        <c:dLbls>
          <c:dLblPos val="outEnd"/>
          <c:showLegendKey val="0"/>
          <c:showVal val="1"/>
          <c:showCatName val="0"/>
          <c:showSerName val="0"/>
          <c:showPercent val="0"/>
          <c:showBubbleSize val="0"/>
        </c:dLbls>
        <c:gapWidth val="25"/>
        <c:overlap val="100"/>
        <c:axId val="1147309679"/>
        <c:axId val="1147322159"/>
      </c:barChart>
      <c:catAx>
        <c:axId val="1147309679"/>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322159"/>
        <c:crosses val="autoZero"/>
        <c:auto val="1"/>
        <c:lblAlgn val="ctr"/>
        <c:lblOffset val="100"/>
        <c:noMultiLvlLbl val="0"/>
      </c:catAx>
      <c:valAx>
        <c:axId val="1147322159"/>
        <c:scaling>
          <c:orientation val="minMax"/>
          <c:min val="0"/>
        </c:scaling>
        <c:delete val="1"/>
        <c:axPos val="t"/>
        <c:numFmt formatCode="General" sourceLinked="1"/>
        <c:majorTickMark val="out"/>
        <c:minorTickMark val="none"/>
        <c:tickLblPos val="nextTo"/>
        <c:crossAx val="114730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Pivots!$E$35:$E$39</c:f>
              <c:strCache>
                <c:ptCount val="5"/>
                <c:pt idx="0">
                  <c:v>R01</c:v>
                </c:pt>
                <c:pt idx="1">
                  <c:v>R02</c:v>
                </c:pt>
                <c:pt idx="2">
                  <c:v>R03</c:v>
                </c:pt>
                <c:pt idx="3">
                  <c:v>R04</c:v>
                </c:pt>
                <c:pt idx="4">
                  <c:v>R05</c:v>
                </c:pt>
              </c:strCache>
            </c:strRef>
          </c:cat>
          <c:val>
            <c:numRef>
              <c:f>Pivots!$G$35:$G$39</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065-4054-94BB-67637D3CB803}"/>
            </c:ext>
          </c:extLst>
        </c:ser>
        <c:ser>
          <c:idx val="1"/>
          <c:order val="1"/>
          <c:tx>
            <c:strRef>
              <c:f>Pivots!$I$34</c:f>
              <c:strCache>
                <c:ptCount val="1"/>
                <c:pt idx="0">
                  <c:v>Cel.Amount</c:v>
                </c:pt>
              </c:strCache>
            </c:strRef>
          </c:tx>
          <c:spPr>
            <a:gradFill>
              <a:gsLst>
                <a:gs pos="0">
                  <a:schemeClr val="accent6">
                    <a:lumMod val="60000"/>
                    <a:lumOff val="40000"/>
                  </a:schemeClr>
                </a:gs>
                <a:gs pos="100000">
                  <a:schemeClr val="accent6"/>
                </a:gs>
              </a:gsLst>
              <a:path path="circle">
                <a:fillToRect r="100000" b="100000"/>
              </a:path>
            </a:gradFill>
            <a:ln>
              <a:noFill/>
            </a:ln>
            <a:effectLst/>
          </c:spPr>
          <c:invertIfNegative val="0"/>
          <c:val>
            <c:numRef>
              <c:f>Pivots!$I$35:$I$39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A065-4054-94BB-67637D3CB803}"/>
            </c:ext>
          </c:extLst>
        </c:ser>
        <c:dLbls>
          <c:showLegendKey val="0"/>
          <c:showVal val="0"/>
          <c:showCatName val="0"/>
          <c:showSerName val="0"/>
          <c:showPercent val="0"/>
          <c:showBubbleSize val="0"/>
        </c:dLbls>
        <c:gapWidth val="25"/>
        <c:overlap val="100"/>
        <c:axId val="1835232927"/>
        <c:axId val="1835217087"/>
      </c:barChart>
      <c:catAx>
        <c:axId val="1835232927"/>
        <c:scaling>
          <c:orientation val="maxMin"/>
        </c:scaling>
        <c:delete val="1"/>
        <c:axPos val="l"/>
        <c:numFmt formatCode="General" sourceLinked="1"/>
        <c:majorTickMark val="none"/>
        <c:minorTickMark val="none"/>
        <c:tickLblPos val="nextTo"/>
        <c:crossAx val="1835217087"/>
        <c:crosses val="autoZero"/>
        <c:auto val="1"/>
        <c:lblAlgn val="ctr"/>
        <c:lblOffset val="100"/>
        <c:noMultiLvlLbl val="0"/>
      </c:catAx>
      <c:valAx>
        <c:axId val="1835217087"/>
        <c:scaling>
          <c:orientation val="minMax"/>
        </c:scaling>
        <c:delete val="1"/>
        <c:axPos val="t"/>
        <c:numFmt formatCode="\$\ #,###.0,\k" sourceLinked="1"/>
        <c:majorTickMark val="none"/>
        <c:minorTickMark val="none"/>
        <c:tickLblPos val="nextTo"/>
        <c:crossAx val="183523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solidFill>
                <a:latin typeface="Arial Black" panose="020B0A04020102020204" pitchFamily="34" charset="0"/>
                <a:ea typeface="+mn-ea"/>
                <a:cs typeface="+mn-cs"/>
              </a:defRPr>
            </a:pPr>
            <a:r>
              <a:rPr lang="en-IN">
                <a:solidFill>
                  <a:schemeClr val="accent6"/>
                </a:solidFill>
                <a:latin typeface="Arial Black" panose="020B0A04020102020204" pitchFamily="34" charset="0"/>
              </a:rPr>
              <a:t>AMOUNT</a:t>
            </a:r>
          </a:p>
        </c:rich>
      </c:tx>
      <c:layout>
        <c:manualLayout>
          <c:xMode val="edge"/>
          <c:yMode val="edge"/>
          <c:x val="4.7350746519767985E-2"/>
          <c:y val="2.1198075148010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Arial Black" panose="020B0A04020102020204" pitchFamily="34" charset="0"/>
              <a:ea typeface="+mn-ea"/>
              <a:cs typeface="+mn-cs"/>
            </a:defRPr>
          </a:pPr>
          <a:endParaRPr lang="en-US"/>
        </a:p>
      </c:txPr>
    </c:title>
    <c:autoTitleDeleted val="0"/>
    <c:plotArea>
      <c:layout>
        <c:manualLayout>
          <c:layoutTarget val="inner"/>
          <c:xMode val="edge"/>
          <c:yMode val="edge"/>
          <c:x val="5.1942952731913017E-2"/>
          <c:y val="0.13830975754488095"/>
          <c:w val="0.89611409453617397"/>
          <c:h val="0.8245827465284436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Pivots!$E$35:$E$39</c:f>
              <c:strCache>
                <c:ptCount val="5"/>
                <c:pt idx="0">
                  <c:v>R01</c:v>
                </c:pt>
                <c:pt idx="1">
                  <c:v>R02</c:v>
                </c:pt>
                <c:pt idx="2">
                  <c:v>R03</c:v>
                </c:pt>
                <c:pt idx="3">
                  <c:v>R04</c:v>
                </c:pt>
                <c:pt idx="4">
                  <c:v>R05</c:v>
                </c:pt>
              </c:strCache>
            </c:strRef>
          </c:cat>
          <c:val>
            <c:numRef>
              <c:f>Pivots!$G$35:$G$39</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065-4054-94BB-67637D3CB803}"/>
            </c:ext>
          </c:extLst>
        </c:ser>
        <c:ser>
          <c:idx val="1"/>
          <c:order val="1"/>
          <c:tx>
            <c:strRef>
              <c:f>Pivots!$I$34</c:f>
              <c:strCache>
                <c:ptCount val="1"/>
                <c:pt idx="0">
                  <c:v>Cel.Amount</c:v>
                </c:pt>
              </c:strCache>
            </c:strRef>
          </c:tx>
          <c:spPr>
            <a:gradFill>
              <a:gsLst>
                <a:gs pos="0">
                  <a:schemeClr val="accent6">
                    <a:lumMod val="60000"/>
                    <a:lumOff val="40000"/>
                  </a:schemeClr>
                </a:gs>
                <a:gs pos="100000">
                  <a:schemeClr val="accent6"/>
                </a:gs>
              </a:gsLst>
              <a:path path="circle">
                <a:fillToRect r="100000" b="100000"/>
              </a:path>
            </a:gradFill>
            <a:ln>
              <a:noFill/>
            </a:ln>
            <a:effectLst/>
          </c:spPr>
          <c:invertIfNegative val="0"/>
          <c:val>
            <c:numRef>
              <c:f>Pivots!$I$35:$I$39</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A065-4054-94BB-67637D3CB803}"/>
            </c:ext>
          </c:extLst>
        </c:ser>
        <c:dLbls>
          <c:showLegendKey val="0"/>
          <c:showVal val="0"/>
          <c:showCatName val="0"/>
          <c:showSerName val="0"/>
          <c:showPercent val="0"/>
          <c:showBubbleSize val="0"/>
        </c:dLbls>
        <c:gapWidth val="25"/>
        <c:overlap val="100"/>
        <c:axId val="1835232927"/>
        <c:axId val="1835217087"/>
      </c:barChart>
      <c:catAx>
        <c:axId val="1835232927"/>
        <c:scaling>
          <c:orientation val="maxMin"/>
        </c:scaling>
        <c:delete val="1"/>
        <c:axPos val="l"/>
        <c:numFmt formatCode="General" sourceLinked="1"/>
        <c:majorTickMark val="none"/>
        <c:minorTickMark val="none"/>
        <c:tickLblPos val="nextTo"/>
        <c:crossAx val="1835217087"/>
        <c:crosses val="autoZero"/>
        <c:auto val="1"/>
        <c:lblAlgn val="ctr"/>
        <c:lblOffset val="100"/>
        <c:noMultiLvlLbl val="0"/>
      </c:catAx>
      <c:valAx>
        <c:axId val="1835217087"/>
        <c:scaling>
          <c:orientation val="minMax"/>
        </c:scaling>
        <c:delete val="1"/>
        <c:axPos val="t"/>
        <c:numFmt formatCode="\$\ #,###.0,\k" sourceLinked="1"/>
        <c:majorTickMark val="none"/>
        <c:minorTickMark val="none"/>
        <c:tickLblPos val="nextTo"/>
        <c:crossAx val="183523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PORTFOLIO.xlsx]Pivots!PivotTable15</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sz="1200">
                <a:solidFill>
                  <a:schemeClr val="bg2">
                    <a:lumMod val="75000"/>
                  </a:schemeClr>
                </a:solidFill>
                <a:latin typeface="Arial Black" panose="020B0A04020102020204" pitchFamily="34" charset="0"/>
              </a:rPr>
              <a:t>MALE</a:t>
            </a:r>
            <a:r>
              <a:rPr lang="en-IN" sz="1200" baseline="0">
                <a:latin typeface="Arial Black" panose="020B0A04020102020204" pitchFamily="34" charset="0"/>
              </a:rPr>
              <a:t> VS </a:t>
            </a:r>
            <a:r>
              <a:rPr lang="en-IN" sz="1200" baseline="0">
                <a:solidFill>
                  <a:schemeClr val="accent5"/>
                </a:solidFill>
                <a:latin typeface="Arial Black" panose="020B0A04020102020204" pitchFamily="34" charset="0"/>
              </a:rPr>
              <a:t>FEMALE</a:t>
            </a:r>
            <a:r>
              <a:rPr lang="en-IN" sz="1200" baseline="0">
                <a:latin typeface="Arial Black" panose="020B0A04020102020204" pitchFamily="34" charset="0"/>
              </a:rPr>
              <a:t> CALLERS</a:t>
            </a:r>
            <a:endParaRPr lang="en-IN" sz="1200">
              <a:latin typeface="Arial Black" panose="020B0A04020102020204" pitchFamily="34" charset="0"/>
            </a:endParaRPr>
          </a:p>
        </c:rich>
      </c:tx>
      <c:layout>
        <c:manualLayout>
          <c:xMode val="edge"/>
          <c:yMode val="edge"/>
          <c:x val="0.15955875081288265"/>
          <c:y val="2.7777777777777776E-2"/>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5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a:noFill/>
          </a:ln>
          <a:effectLst/>
        </c:spPr>
        <c:marker>
          <c:symbol val="none"/>
        </c:marker>
        <c:dLbl>
          <c:idx val="0"/>
          <c:spPr>
            <a:solidFill>
              <a:schemeClr val="bg1">
                <a:lumMod val="85000"/>
                <a:alpha val="5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2"/>
          </a:solidFill>
          <a:ln>
            <a:noFill/>
          </a:ln>
          <a:effectLst/>
        </c:spPr>
      </c:pivotFmt>
    </c:pivotFmts>
    <c:plotArea>
      <c:layout/>
      <c:barChart>
        <c:barDir val="col"/>
        <c:grouping val="percentStacked"/>
        <c:varyColors val="0"/>
        <c:ser>
          <c:idx val="0"/>
          <c:order val="0"/>
          <c:tx>
            <c:strRef>
              <c:f>Pivots!$B$50:$B$51</c:f>
              <c:strCache>
                <c:ptCount val="1"/>
                <c:pt idx="0">
                  <c:v>Female</c:v>
                </c:pt>
              </c:strCache>
            </c:strRef>
          </c:tx>
          <c:spPr>
            <a:solidFill>
              <a:schemeClr val="accent5"/>
            </a:solidFill>
            <a:ln>
              <a:noFill/>
            </a:ln>
            <a:effectLst/>
          </c:spPr>
          <c:invertIfNegative val="0"/>
          <c:dLbls>
            <c:spPr>
              <a:solidFill>
                <a:schemeClr val="bg1">
                  <a:lumMod val="85000"/>
                  <a:alpha val="5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Pivots!$A$52:$A$55</c:f>
              <c:strCache>
                <c:ptCount val="3"/>
                <c:pt idx="0">
                  <c:v>Cincinnati</c:v>
                </c:pt>
                <c:pt idx="1">
                  <c:v>Cleveland</c:v>
                </c:pt>
                <c:pt idx="2">
                  <c:v>Columbus</c:v>
                </c:pt>
              </c:strCache>
            </c:strRef>
          </c:cat>
          <c:val>
            <c:numRef>
              <c:f>Pivots!$B$52:$B$55</c:f>
              <c:numCache>
                <c:formatCode>#,##0</c:formatCode>
                <c:ptCount val="3"/>
                <c:pt idx="0">
                  <c:v>144</c:v>
                </c:pt>
                <c:pt idx="1">
                  <c:v>326</c:v>
                </c:pt>
                <c:pt idx="2">
                  <c:v>129</c:v>
                </c:pt>
              </c:numCache>
            </c:numRef>
          </c:val>
          <c:extLst>
            <c:ext xmlns:c16="http://schemas.microsoft.com/office/drawing/2014/chart" uri="{C3380CC4-5D6E-409C-BE32-E72D297353CC}">
              <c16:uniqueId val="{00000000-875B-473E-AE6D-D07EEED6A3C8}"/>
            </c:ext>
          </c:extLst>
        </c:ser>
        <c:ser>
          <c:idx val="1"/>
          <c:order val="1"/>
          <c:tx>
            <c:strRef>
              <c:f>Pivots!$C$50:$C$51</c:f>
              <c:strCache>
                <c:ptCount val="1"/>
                <c:pt idx="0">
                  <c:v>Male</c:v>
                </c:pt>
              </c:strCache>
            </c:strRef>
          </c:tx>
          <c:spPr>
            <a:solidFill>
              <a:schemeClr val="accent2"/>
            </a:solidFill>
            <a:ln>
              <a:noFill/>
            </a:ln>
            <a:effectLst/>
          </c:spPr>
          <c:invertIfNegative val="0"/>
          <c:dLbls>
            <c:spPr>
              <a:solidFill>
                <a:schemeClr val="bg1">
                  <a:lumMod val="85000"/>
                  <a:alpha val="50000"/>
                </a:schemeClr>
              </a:solidFill>
              <a:ln>
                <a:solidFill>
                  <a:schemeClr val="tx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Pivots!$A$52:$A$55</c:f>
              <c:strCache>
                <c:ptCount val="3"/>
                <c:pt idx="0">
                  <c:v>Cincinnati</c:v>
                </c:pt>
                <c:pt idx="1">
                  <c:v>Cleveland</c:v>
                </c:pt>
                <c:pt idx="2">
                  <c:v>Columbus</c:v>
                </c:pt>
              </c:strCache>
            </c:strRef>
          </c:cat>
          <c:val>
            <c:numRef>
              <c:f>Pivots!$C$52:$C$55</c:f>
              <c:numCache>
                <c:formatCode>#,##0</c:formatCode>
                <c:ptCount val="3"/>
                <c:pt idx="0">
                  <c:v>132</c:v>
                </c:pt>
                <c:pt idx="1">
                  <c:v>63</c:v>
                </c:pt>
                <c:pt idx="2">
                  <c:v>206</c:v>
                </c:pt>
              </c:numCache>
            </c:numRef>
          </c:val>
          <c:extLst>
            <c:ext xmlns:c16="http://schemas.microsoft.com/office/drawing/2014/chart" uri="{C3380CC4-5D6E-409C-BE32-E72D297353CC}">
              <c16:uniqueId val="{00000001-875B-473E-AE6D-D07EEED6A3C8}"/>
            </c:ext>
          </c:extLst>
        </c:ser>
        <c:dLbls>
          <c:dLblPos val="ctr"/>
          <c:showLegendKey val="0"/>
          <c:showVal val="1"/>
          <c:showCatName val="0"/>
          <c:showSerName val="0"/>
          <c:showPercent val="0"/>
          <c:showBubbleSize val="0"/>
        </c:dLbls>
        <c:gapWidth val="25"/>
        <c:overlap val="100"/>
        <c:axId val="1835239167"/>
        <c:axId val="1835240607"/>
      </c:barChart>
      <c:catAx>
        <c:axId val="1835239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40607"/>
        <c:crosses val="autoZero"/>
        <c:auto val="1"/>
        <c:lblAlgn val="ctr"/>
        <c:lblOffset val="100"/>
        <c:noMultiLvlLbl val="0"/>
      </c:catAx>
      <c:valAx>
        <c:axId val="1835240607"/>
        <c:scaling>
          <c:orientation val="minMax"/>
        </c:scaling>
        <c:delete val="1"/>
        <c:axPos val="l"/>
        <c:numFmt formatCode="0%" sourceLinked="1"/>
        <c:majorTickMark val="out"/>
        <c:minorTickMark val="none"/>
        <c:tickLblPos val="nextTo"/>
        <c:crossAx val="183523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PORTFOLIO.xlsx]Pivots!Rep Satisfaction</c:name>
    <c:fmtId val="14"/>
  </c:pivotSource>
  <c:chart>
    <c:title>
      <c:tx>
        <c:rich>
          <a:bodyPr rot="0" spcFirstLastPara="1" vertOverflow="ellipsis" vert="horz" wrap="square" anchor="ctr" anchorCtr="1"/>
          <a:lstStyle/>
          <a:p>
            <a:pPr>
              <a:defRPr sz="1400" b="1" i="0" u="none" strike="noStrike" kern="1200" spc="0" baseline="0">
                <a:solidFill>
                  <a:schemeClr val="bg2">
                    <a:lumMod val="75000"/>
                  </a:schemeClr>
                </a:solidFill>
                <a:latin typeface="Arial Black" panose="020B0A04020102020204" pitchFamily="34" charset="0"/>
                <a:ea typeface="+mn-ea"/>
                <a:cs typeface="+mn-cs"/>
              </a:defRPr>
            </a:pPr>
            <a:r>
              <a:rPr lang="en-US" b="1">
                <a:solidFill>
                  <a:schemeClr val="bg2">
                    <a:lumMod val="75000"/>
                  </a:schemeClr>
                </a:solidFill>
                <a:latin typeface="Arial Black" panose="020B0A04020102020204" pitchFamily="34" charset="0"/>
              </a:rPr>
              <a:t>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7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Pivots!$B$62</c:f>
              <c:strCache>
                <c:ptCount val="1"/>
                <c:pt idx="0">
                  <c:v>Total</c:v>
                </c:pt>
              </c:strCache>
            </c:strRef>
          </c:tx>
          <c:spPr>
            <a:solidFill>
              <a:schemeClr val="bg2">
                <a:lumMod val="75000"/>
              </a:schemeClr>
            </a:solidFill>
            <a:ln>
              <a:noFill/>
            </a:ln>
            <a:effectLst/>
          </c:spPr>
          <c:invertIfNegative val="0"/>
          <c:cat>
            <c:strRef>
              <c:f>Pivots!$A$63:$A$69</c:f>
              <c:strCache>
                <c:ptCount val="6"/>
                <c:pt idx="0">
                  <c:v>0</c:v>
                </c:pt>
                <c:pt idx="1">
                  <c:v>1</c:v>
                </c:pt>
                <c:pt idx="2">
                  <c:v>2</c:v>
                </c:pt>
                <c:pt idx="3">
                  <c:v>3</c:v>
                </c:pt>
                <c:pt idx="4">
                  <c:v>4</c:v>
                </c:pt>
                <c:pt idx="5">
                  <c:v>5</c:v>
                </c:pt>
              </c:strCache>
            </c:strRef>
          </c:cat>
          <c:val>
            <c:numRef>
              <c:f>Pivots!$B$63:$B$69</c:f>
              <c:numCache>
                <c:formatCode>#,##0</c:formatCode>
                <c:ptCount val="6"/>
                <c:pt idx="0">
                  <c:v>1</c:v>
                </c:pt>
                <c:pt idx="1">
                  <c:v>5</c:v>
                </c:pt>
                <c:pt idx="2">
                  <c:v>49</c:v>
                </c:pt>
                <c:pt idx="3">
                  <c:v>156</c:v>
                </c:pt>
                <c:pt idx="4">
                  <c:v>358</c:v>
                </c:pt>
                <c:pt idx="5">
                  <c:v>245</c:v>
                </c:pt>
              </c:numCache>
            </c:numRef>
          </c:val>
          <c:extLst>
            <c:ext xmlns:c16="http://schemas.microsoft.com/office/drawing/2014/chart" uri="{C3380CC4-5D6E-409C-BE32-E72D297353CC}">
              <c16:uniqueId val="{00000000-AD58-4951-B64A-F52BB2363005}"/>
            </c:ext>
          </c:extLst>
        </c:ser>
        <c:dLbls>
          <c:showLegendKey val="0"/>
          <c:showVal val="0"/>
          <c:showCatName val="0"/>
          <c:showSerName val="0"/>
          <c:showPercent val="0"/>
          <c:showBubbleSize val="0"/>
        </c:dLbls>
        <c:gapWidth val="10"/>
        <c:overlap val="-27"/>
        <c:axId val="1835221407"/>
        <c:axId val="1835229087"/>
      </c:barChart>
      <c:catAx>
        <c:axId val="183522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29087"/>
        <c:crosses val="autoZero"/>
        <c:auto val="1"/>
        <c:lblAlgn val="ctr"/>
        <c:lblOffset val="100"/>
        <c:noMultiLvlLbl val="0"/>
      </c:catAx>
      <c:valAx>
        <c:axId val="1835229087"/>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22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667234</xdr:colOff>
      <xdr:row>2</xdr:row>
      <xdr:rowOff>163703</xdr:rowOff>
    </xdr:from>
    <xdr:to>
      <xdr:col>3</xdr:col>
      <xdr:colOff>9755</xdr:colOff>
      <xdr:row>7</xdr:row>
      <xdr:rowOff>157719</xdr:rowOff>
    </xdr:to>
    <xdr:sp macro="" textlink="Pivots!A4">
      <xdr:nvSpPr>
        <xdr:cNvPr id="2" name="Rectangle 1">
          <a:extLst>
            <a:ext uri="{FF2B5EF4-FFF2-40B4-BE49-F238E27FC236}">
              <a16:creationId xmlns:a16="http://schemas.microsoft.com/office/drawing/2014/main" id="{ED253B6C-B628-2ECA-F737-965E0AA8BBF8}"/>
            </a:ext>
          </a:extLst>
        </xdr:cNvPr>
        <xdr:cNvSpPr/>
      </xdr:nvSpPr>
      <xdr:spPr>
        <a:xfrm>
          <a:off x="667234" y="514223"/>
          <a:ext cx="1354201" cy="870316"/>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C4984F-AE15-4321-8E44-2D3404F396D0}" type="TxLink">
            <a:rPr lang="en-US" sz="2400" b="0" i="0" u="none" strike="noStrike">
              <a:solidFill>
                <a:schemeClr val="bg1"/>
              </a:solidFill>
              <a:latin typeface="Arial Black" panose="020B0A04020102020204" pitchFamily="34" charset="0"/>
              <a:cs typeface="Arial"/>
            </a:rPr>
            <a:pPr algn="ctr"/>
            <a:t>1,000</a:t>
          </a:fld>
          <a:endParaRPr lang="en-US" sz="2400">
            <a:solidFill>
              <a:schemeClr val="bg1"/>
            </a:solidFill>
            <a:latin typeface="Arial Black" panose="020B0A04020102020204" pitchFamily="34" charset="0"/>
          </a:endParaRPr>
        </a:p>
      </xdr:txBody>
    </xdr:sp>
    <xdr:clientData/>
  </xdr:twoCellAnchor>
  <xdr:twoCellAnchor>
    <xdr:from>
      <xdr:col>1</xdr:col>
      <xdr:colOff>133473</xdr:colOff>
      <xdr:row>2</xdr:row>
      <xdr:rowOff>157316</xdr:rowOff>
    </xdr:from>
    <xdr:to>
      <xdr:col>2</xdr:col>
      <xdr:colOff>535121</xdr:colOff>
      <xdr:row>4</xdr:row>
      <xdr:rowOff>85295</xdr:rowOff>
    </xdr:to>
    <xdr:sp macro="" textlink="">
      <xdr:nvSpPr>
        <xdr:cNvPr id="3" name="TextBox 2">
          <a:extLst>
            <a:ext uri="{FF2B5EF4-FFF2-40B4-BE49-F238E27FC236}">
              <a16:creationId xmlns:a16="http://schemas.microsoft.com/office/drawing/2014/main" id="{DBDE8718-4E6B-C73D-0C1D-A2CEB8C861F5}"/>
            </a:ext>
          </a:extLst>
        </xdr:cNvPr>
        <xdr:cNvSpPr txBox="1"/>
      </xdr:nvSpPr>
      <xdr:spPr>
        <a:xfrm>
          <a:off x="804033" y="507836"/>
          <a:ext cx="1072208" cy="278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noFill/>
              </a:ln>
              <a:solidFill>
                <a:schemeClr val="bg1"/>
              </a:solidFill>
              <a:latin typeface="Arial Rounded MT Bold" panose="020F0704030504030204" pitchFamily="34" charset="0"/>
            </a:rPr>
            <a:t>CALLS</a:t>
          </a:r>
        </a:p>
        <a:p>
          <a:endParaRPr lang="en-IN" sz="1100">
            <a:ln>
              <a:noFill/>
            </a:ln>
            <a:solidFill>
              <a:schemeClr val="tx1"/>
            </a:solidFill>
          </a:endParaRPr>
        </a:p>
      </xdr:txBody>
    </xdr:sp>
    <xdr:clientData/>
  </xdr:twoCellAnchor>
  <xdr:twoCellAnchor editAs="oneCell">
    <xdr:from>
      <xdr:col>1</xdr:col>
      <xdr:colOff>72202</xdr:colOff>
      <xdr:row>3</xdr:row>
      <xdr:rowOff>31524</xdr:rowOff>
    </xdr:from>
    <xdr:to>
      <xdr:col>1</xdr:col>
      <xdr:colOff>262397</xdr:colOff>
      <xdr:row>4</xdr:row>
      <xdr:rowOff>41503</xdr:rowOff>
    </xdr:to>
    <xdr:pic>
      <xdr:nvPicPr>
        <xdr:cNvPr id="4" name="Graphic 3" descr="Receiver with solid fill">
          <a:extLst>
            <a:ext uri="{FF2B5EF4-FFF2-40B4-BE49-F238E27FC236}">
              <a16:creationId xmlns:a16="http://schemas.microsoft.com/office/drawing/2014/main" id="{7FDEB0BC-D2CD-4B09-8D77-AB245274E7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17633">
          <a:off x="742762" y="557304"/>
          <a:ext cx="190195" cy="185238"/>
        </a:xfrm>
        <a:prstGeom prst="rect">
          <a:avLst/>
        </a:prstGeom>
      </xdr:spPr>
    </xdr:pic>
    <xdr:clientData/>
  </xdr:twoCellAnchor>
  <xdr:twoCellAnchor>
    <xdr:from>
      <xdr:col>0</xdr:col>
      <xdr:colOff>669998</xdr:colOff>
      <xdr:row>6</xdr:row>
      <xdr:rowOff>82837</xdr:rowOff>
    </xdr:from>
    <xdr:to>
      <xdr:col>2</xdr:col>
      <xdr:colOff>653865</xdr:colOff>
      <xdr:row>8</xdr:row>
      <xdr:rowOff>9008</xdr:rowOff>
    </xdr:to>
    <xdr:sp macro="" textlink="Pivots!A10">
      <xdr:nvSpPr>
        <xdr:cNvPr id="5" name="TextBox 4">
          <a:extLst>
            <a:ext uri="{FF2B5EF4-FFF2-40B4-BE49-F238E27FC236}">
              <a16:creationId xmlns:a16="http://schemas.microsoft.com/office/drawing/2014/main" id="{75397513-BD41-E06C-70C0-37C31212C3D9}"/>
            </a:ext>
          </a:extLst>
        </xdr:cNvPr>
        <xdr:cNvSpPr txBox="1"/>
      </xdr:nvSpPr>
      <xdr:spPr>
        <a:xfrm>
          <a:off x="669998" y="1134397"/>
          <a:ext cx="1324987" cy="27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0BA9D4-93D6-4F05-BF97-934B32EA770E}" type="TxLink">
            <a:rPr lang="en-US" sz="1100" b="0" i="0" u="none" strike="noStrike">
              <a:solidFill>
                <a:schemeClr val="accent6">
                  <a:lumMod val="20000"/>
                  <a:lumOff val="80000"/>
                </a:schemeClr>
              </a:solidFill>
              <a:latin typeface="Arial Rounded MT Bold" panose="020F0704030504030204" pitchFamily="34" charset="0"/>
              <a:cs typeface="Arial"/>
            </a:rPr>
            <a:pPr algn="ctr"/>
            <a:t>814</a:t>
          </a:fld>
          <a:endParaRPr lang="en-IN" sz="1100">
            <a:solidFill>
              <a:schemeClr val="accent6">
                <a:lumMod val="20000"/>
                <a:lumOff val="80000"/>
              </a:schemeClr>
            </a:solidFill>
            <a:latin typeface="Arial Rounded MT Bold" panose="020F0704030504030204" pitchFamily="34" charset="0"/>
          </a:endParaRPr>
        </a:p>
      </xdr:txBody>
    </xdr:sp>
    <xdr:clientData/>
  </xdr:twoCellAnchor>
  <xdr:twoCellAnchor>
    <xdr:from>
      <xdr:col>1</xdr:col>
      <xdr:colOff>0</xdr:colOff>
      <xdr:row>11</xdr:row>
      <xdr:rowOff>6387</xdr:rowOff>
    </xdr:from>
    <xdr:to>
      <xdr:col>3</xdr:col>
      <xdr:colOff>13081</xdr:colOff>
      <xdr:row>16</xdr:row>
      <xdr:rowOff>403</xdr:rowOff>
    </xdr:to>
    <xdr:sp macro="" textlink="Pivots!B4">
      <xdr:nvSpPr>
        <xdr:cNvPr id="30" name="Rectangle 29">
          <a:extLst>
            <a:ext uri="{FF2B5EF4-FFF2-40B4-BE49-F238E27FC236}">
              <a16:creationId xmlns:a16="http://schemas.microsoft.com/office/drawing/2014/main" id="{D6750491-56B8-41A1-B1D7-FC3E604714FE}"/>
            </a:ext>
          </a:extLst>
        </xdr:cNvPr>
        <xdr:cNvSpPr/>
      </xdr:nvSpPr>
      <xdr:spPr>
        <a:xfrm>
          <a:off x="435429" y="1922273"/>
          <a:ext cx="1354201" cy="864873"/>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4FDB37-3C21-40E1-86C9-458A1D97E4A3}" type="TxLink">
            <a:rPr lang="en-US" sz="1100" b="0" i="0" u="none" strike="noStrike">
              <a:solidFill>
                <a:schemeClr val="bg1"/>
              </a:solidFill>
              <a:latin typeface="Arial Black" panose="020B0A04020102020204" pitchFamily="34" charset="0"/>
              <a:cs typeface="Arial"/>
            </a:rPr>
            <a:pPr algn="ctr"/>
            <a:t>$96,623</a:t>
          </a:fld>
          <a:endParaRPr lang="en-US" sz="2400">
            <a:solidFill>
              <a:schemeClr val="bg1"/>
            </a:solidFill>
            <a:latin typeface="Arial Black" panose="020B0A04020102020204" pitchFamily="34" charset="0"/>
          </a:endParaRPr>
        </a:p>
      </xdr:txBody>
    </xdr:sp>
    <xdr:clientData/>
  </xdr:twoCellAnchor>
  <xdr:twoCellAnchor>
    <xdr:from>
      <xdr:col>1</xdr:col>
      <xdr:colOff>136799</xdr:colOff>
      <xdr:row>11</xdr:row>
      <xdr:rowOff>0</xdr:rowOff>
    </xdr:from>
    <xdr:to>
      <xdr:col>2</xdr:col>
      <xdr:colOff>538447</xdr:colOff>
      <xdr:row>12</xdr:row>
      <xdr:rowOff>103239</xdr:rowOff>
    </xdr:to>
    <xdr:sp macro="" textlink="">
      <xdr:nvSpPr>
        <xdr:cNvPr id="31" name="TextBox 30">
          <a:extLst>
            <a:ext uri="{FF2B5EF4-FFF2-40B4-BE49-F238E27FC236}">
              <a16:creationId xmlns:a16="http://schemas.microsoft.com/office/drawing/2014/main" id="{43B885FE-E671-4C71-9BD2-0F68092C0274}"/>
            </a:ext>
          </a:extLst>
        </xdr:cNvPr>
        <xdr:cNvSpPr txBox="1"/>
      </xdr:nvSpPr>
      <xdr:spPr>
        <a:xfrm>
          <a:off x="807359" y="1927860"/>
          <a:ext cx="1072208" cy="278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noFill/>
              </a:ln>
              <a:solidFill>
                <a:schemeClr val="bg1"/>
              </a:solidFill>
              <a:latin typeface="Arial Rounded MT Bold" panose="020F0704030504030204" pitchFamily="34" charset="0"/>
            </a:rPr>
            <a:t>AMOUNT</a:t>
          </a:r>
        </a:p>
        <a:p>
          <a:endParaRPr lang="en-IN" sz="1100">
            <a:ln>
              <a:noFill/>
            </a:ln>
            <a:solidFill>
              <a:schemeClr val="tx1"/>
            </a:solidFill>
          </a:endParaRPr>
        </a:p>
      </xdr:txBody>
    </xdr:sp>
    <xdr:clientData/>
  </xdr:twoCellAnchor>
  <xdr:twoCellAnchor>
    <xdr:from>
      <xdr:col>1</xdr:col>
      <xdr:colOff>2764</xdr:colOff>
      <xdr:row>14</xdr:row>
      <xdr:rowOff>100781</xdr:rowOff>
    </xdr:from>
    <xdr:to>
      <xdr:col>2</xdr:col>
      <xdr:colOff>657191</xdr:colOff>
      <xdr:row>16</xdr:row>
      <xdr:rowOff>26952</xdr:rowOff>
    </xdr:to>
    <xdr:sp macro="" textlink="Pivots!B10">
      <xdr:nvSpPr>
        <xdr:cNvPr id="33" name="TextBox 32">
          <a:extLst>
            <a:ext uri="{FF2B5EF4-FFF2-40B4-BE49-F238E27FC236}">
              <a16:creationId xmlns:a16="http://schemas.microsoft.com/office/drawing/2014/main" id="{CF993AEF-8D27-48F4-A86B-4DB7B2FD1023}"/>
            </a:ext>
          </a:extLst>
        </xdr:cNvPr>
        <xdr:cNvSpPr txBox="1"/>
      </xdr:nvSpPr>
      <xdr:spPr>
        <a:xfrm>
          <a:off x="673324" y="2554421"/>
          <a:ext cx="1324987" cy="27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7F92D2-5216-4425-A4BC-8D11EDA70FAD}" type="TxLink">
            <a:rPr lang="en-US" sz="1100" b="0" i="0" u="none" strike="noStrike">
              <a:solidFill>
                <a:schemeClr val="bg1"/>
              </a:solidFill>
              <a:latin typeface="Arial Rounded MT Bold" panose="020F0704030504030204" pitchFamily="34" charset="0"/>
              <a:cs typeface="Arial"/>
            </a:rPr>
            <a:pPr algn="ctr"/>
            <a:t>$79,972</a:t>
          </a:fld>
          <a:endParaRPr lang="en-IN" sz="1100">
            <a:solidFill>
              <a:schemeClr val="bg1"/>
            </a:solidFill>
            <a:latin typeface="Arial Rounded MT Bold" panose="020F0704030504030204" pitchFamily="34" charset="0"/>
          </a:endParaRPr>
        </a:p>
      </xdr:txBody>
    </xdr:sp>
    <xdr:clientData/>
  </xdr:twoCellAnchor>
  <xdr:twoCellAnchor>
    <xdr:from>
      <xdr:col>1</xdr:col>
      <xdr:colOff>0</xdr:colOff>
      <xdr:row>19</xdr:row>
      <xdr:rowOff>6387</xdr:rowOff>
    </xdr:from>
    <xdr:to>
      <xdr:col>3</xdr:col>
      <xdr:colOff>13081</xdr:colOff>
      <xdr:row>24</xdr:row>
      <xdr:rowOff>403</xdr:rowOff>
    </xdr:to>
    <xdr:sp macro="" textlink="Pivots!C4">
      <xdr:nvSpPr>
        <xdr:cNvPr id="38" name="Rectangle 37">
          <a:extLst>
            <a:ext uri="{FF2B5EF4-FFF2-40B4-BE49-F238E27FC236}">
              <a16:creationId xmlns:a16="http://schemas.microsoft.com/office/drawing/2014/main" id="{803DAA43-1E88-46F7-BBE9-03BE8B6AEF98}"/>
            </a:ext>
          </a:extLst>
        </xdr:cNvPr>
        <xdr:cNvSpPr/>
      </xdr:nvSpPr>
      <xdr:spPr>
        <a:xfrm>
          <a:off x="670560" y="3336327"/>
          <a:ext cx="1354201" cy="870316"/>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F607D4-1DE2-4363-B6EF-D8576F6B3670}" type="TxLink">
            <a:rPr lang="en-US" sz="1100" b="0" i="0" u="none" strike="noStrike">
              <a:solidFill>
                <a:schemeClr val="bg1"/>
              </a:solidFill>
              <a:latin typeface="Arial Black" panose="020B0A04020102020204" pitchFamily="34" charset="0"/>
              <a:cs typeface="Arial"/>
            </a:rPr>
            <a:pPr algn="ctr"/>
            <a:t>89,850</a:t>
          </a:fld>
          <a:endParaRPr lang="en-US" sz="2400">
            <a:solidFill>
              <a:schemeClr val="bg1"/>
            </a:solidFill>
            <a:latin typeface="Arial Black" panose="020B0A04020102020204" pitchFamily="34" charset="0"/>
          </a:endParaRPr>
        </a:p>
      </xdr:txBody>
    </xdr:sp>
    <xdr:clientData/>
  </xdr:twoCellAnchor>
  <xdr:twoCellAnchor>
    <xdr:from>
      <xdr:col>1</xdr:col>
      <xdr:colOff>159659</xdr:colOff>
      <xdr:row>19</xdr:row>
      <xdr:rowOff>22860</xdr:rowOff>
    </xdr:from>
    <xdr:to>
      <xdr:col>2</xdr:col>
      <xdr:colOff>561307</xdr:colOff>
      <xdr:row>20</xdr:row>
      <xdr:rowOff>126099</xdr:rowOff>
    </xdr:to>
    <xdr:sp macro="" textlink="">
      <xdr:nvSpPr>
        <xdr:cNvPr id="39" name="TextBox 38">
          <a:extLst>
            <a:ext uri="{FF2B5EF4-FFF2-40B4-BE49-F238E27FC236}">
              <a16:creationId xmlns:a16="http://schemas.microsoft.com/office/drawing/2014/main" id="{329CE79C-8DDD-44C4-A1D4-7BA42087C58E}"/>
            </a:ext>
          </a:extLst>
        </xdr:cNvPr>
        <xdr:cNvSpPr txBox="1"/>
      </xdr:nvSpPr>
      <xdr:spPr>
        <a:xfrm>
          <a:off x="830219" y="3352800"/>
          <a:ext cx="1072208" cy="278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noFill/>
              </a:ln>
              <a:solidFill>
                <a:schemeClr val="bg1"/>
              </a:solidFill>
              <a:latin typeface="Arial Rounded MT Bold" panose="020F0704030504030204" pitchFamily="34" charset="0"/>
            </a:rPr>
            <a:t>DURATION</a:t>
          </a:r>
        </a:p>
        <a:p>
          <a:endParaRPr lang="en-IN" sz="1100">
            <a:ln>
              <a:noFill/>
            </a:ln>
            <a:solidFill>
              <a:schemeClr val="tx1"/>
            </a:solidFill>
          </a:endParaRPr>
        </a:p>
      </xdr:txBody>
    </xdr:sp>
    <xdr:clientData/>
  </xdr:twoCellAnchor>
  <xdr:twoCellAnchor>
    <xdr:from>
      <xdr:col>1</xdr:col>
      <xdr:colOff>2764</xdr:colOff>
      <xdr:row>22</xdr:row>
      <xdr:rowOff>100781</xdr:rowOff>
    </xdr:from>
    <xdr:to>
      <xdr:col>2</xdr:col>
      <xdr:colOff>657191</xdr:colOff>
      <xdr:row>24</xdr:row>
      <xdr:rowOff>26952</xdr:rowOff>
    </xdr:to>
    <xdr:sp macro="" textlink="Pivots!C10">
      <xdr:nvSpPr>
        <xdr:cNvPr id="41" name="TextBox 40">
          <a:extLst>
            <a:ext uri="{FF2B5EF4-FFF2-40B4-BE49-F238E27FC236}">
              <a16:creationId xmlns:a16="http://schemas.microsoft.com/office/drawing/2014/main" id="{149680C5-FEA5-48CF-8220-A7575BF11816}"/>
            </a:ext>
          </a:extLst>
        </xdr:cNvPr>
        <xdr:cNvSpPr txBox="1"/>
      </xdr:nvSpPr>
      <xdr:spPr>
        <a:xfrm>
          <a:off x="673324" y="3956501"/>
          <a:ext cx="1324987" cy="27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BCD599-0D28-4640-9062-A4855ED2DB07}" type="TxLink">
            <a:rPr lang="en-US" sz="1100" b="0" i="0" u="none" strike="noStrike">
              <a:solidFill>
                <a:schemeClr val="accent6">
                  <a:lumMod val="20000"/>
                  <a:lumOff val="80000"/>
                </a:schemeClr>
              </a:solidFill>
              <a:latin typeface="Arial Rounded MT Bold" panose="020F0704030504030204" pitchFamily="34" charset="0"/>
              <a:cs typeface="Arial"/>
            </a:rPr>
            <a:pPr algn="ctr"/>
            <a:t>72,043</a:t>
          </a:fld>
          <a:endParaRPr lang="en-IN" sz="1100">
            <a:solidFill>
              <a:schemeClr val="accent6">
                <a:lumMod val="20000"/>
                <a:lumOff val="80000"/>
              </a:schemeClr>
            </a:solidFill>
            <a:latin typeface="Arial Rounded MT Bold" panose="020F0704030504030204" pitchFamily="34" charset="0"/>
          </a:endParaRPr>
        </a:p>
      </xdr:txBody>
    </xdr:sp>
    <xdr:clientData/>
  </xdr:twoCellAnchor>
  <xdr:twoCellAnchor>
    <xdr:from>
      <xdr:col>1</xdr:col>
      <xdr:colOff>0</xdr:colOff>
      <xdr:row>27</xdr:row>
      <xdr:rowOff>6387</xdr:rowOff>
    </xdr:from>
    <xdr:to>
      <xdr:col>3</xdr:col>
      <xdr:colOff>13081</xdr:colOff>
      <xdr:row>32</xdr:row>
      <xdr:rowOff>403</xdr:rowOff>
    </xdr:to>
    <xdr:sp macro="" textlink="Pivots!D4">
      <xdr:nvSpPr>
        <xdr:cNvPr id="42" name="Rectangle 41">
          <a:extLst>
            <a:ext uri="{FF2B5EF4-FFF2-40B4-BE49-F238E27FC236}">
              <a16:creationId xmlns:a16="http://schemas.microsoft.com/office/drawing/2014/main" id="{EA563D9F-AEFE-4534-9BE9-4716213913FC}"/>
            </a:ext>
          </a:extLst>
        </xdr:cNvPr>
        <xdr:cNvSpPr/>
      </xdr:nvSpPr>
      <xdr:spPr>
        <a:xfrm>
          <a:off x="670560" y="4738407"/>
          <a:ext cx="1354201" cy="870316"/>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DD9C27-800F-4E05-8BFB-F1C05377AB5D}" type="TxLink">
            <a:rPr lang="en-US" sz="1100" b="0" i="0" u="none" strike="noStrike">
              <a:solidFill>
                <a:schemeClr val="bg1"/>
              </a:solidFill>
              <a:latin typeface="Arial Black" panose="020B0A04020102020204" pitchFamily="34" charset="0"/>
              <a:cs typeface="Arial"/>
            </a:rPr>
            <a:pPr algn="ctr"/>
            <a:t>3.9</a:t>
          </a:fld>
          <a:endParaRPr lang="en-US" sz="2400">
            <a:solidFill>
              <a:schemeClr val="bg1"/>
            </a:solidFill>
            <a:latin typeface="Arial Black" panose="020B0A04020102020204" pitchFamily="34" charset="0"/>
          </a:endParaRPr>
        </a:p>
      </xdr:txBody>
    </xdr:sp>
    <xdr:clientData/>
  </xdr:twoCellAnchor>
  <xdr:twoCellAnchor>
    <xdr:from>
      <xdr:col>1</xdr:col>
      <xdr:colOff>136798</xdr:colOff>
      <xdr:row>27</xdr:row>
      <xdr:rowOff>0</xdr:rowOff>
    </xdr:from>
    <xdr:to>
      <xdr:col>2</xdr:col>
      <xdr:colOff>647699</xdr:colOff>
      <xdr:row>28</xdr:row>
      <xdr:rowOff>103239</xdr:rowOff>
    </xdr:to>
    <xdr:sp macro="" textlink="">
      <xdr:nvSpPr>
        <xdr:cNvPr id="43" name="TextBox 42">
          <a:extLst>
            <a:ext uri="{FF2B5EF4-FFF2-40B4-BE49-F238E27FC236}">
              <a16:creationId xmlns:a16="http://schemas.microsoft.com/office/drawing/2014/main" id="{1111F8DF-DB87-447D-8616-EC0CAB1F692F}"/>
            </a:ext>
          </a:extLst>
        </xdr:cNvPr>
        <xdr:cNvSpPr txBox="1"/>
      </xdr:nvSpPr>
      <xdr:spPr>
        <a:xfrm>
          <a:off x="807358" y="4732020"/>
          <a:ext cx="1181461" cy="278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noFill/>
              </a:ln>
              <a:solidFill>
                <a:schemeClr val="bg1"/>
              </a:solidFill>
              <a:latin typeface="Arial Rounded MT Bold" panose="020F0704030504030204" pitchFamily="34" charset="0"/>
            </a:rPr>
            <a:t>AVG</a:t>
          </a:r>
          <a:r>
            <a:rPr lang="en-IN" sz="1100" baseline="0">
              <a:ln>
                <a:noFill/>
              </a:ln>
              <a:solidFill>
                <a:schemeClr val="bg1"/>
              </a:solidFill>
              <a:latin typeface="Arial Rounded MT Bold" panose="020F0704030504030204" pitchFamily="34" charset="0"/>
            </a:rPr>
            <a:t> RATING</a:t>
          </a:r>
          <a:endParaRPr lang="en-IN" sz="1100">
            <a:ln>
              <a:noFill/>
            </a:ln>
            <a:solidFill>
              <a:schemeClr val="bg1"/>
            </a:solidFill>
            <a:latin typeface="Arial Rounded MT Bold" panose="020F0704030504030204" pitchFamily="34" charset="0"/>
          </a:endParaRPr>
        </a:p>
        <a:p>
          <a:endParaRPr lang="en-IN" sz="1100">
            <a:ln>
              <a:noFill/>
            </a:ln>
            <a:solidFill>
              <a:schemeClr val="tx1"/>
            </a:solidFill>
          </a:endParaRPr>
        </a:p>
      </xdr:txBody>
    </xdr:sp>
    <xdr:clientData/>
  </xdr:twoCellAnchor>
  <xdr:twoCellAnchor>
    <xdr:from>
      <xdr:col>1</xdr:col>
      <xdr:colOff>2764</xdr:colOff>
      <xdr:row>30</xdr:row>
      <xdr:rowOff>83197</xdr:rowOff>
    </xdr:from>
    <xdr:to>
      <xdr:col>2</xdr:col>
      <xdr:colOff>657191</xdr:colOff>
      <xdr:row>32</xdr:row>
      <xdr:rowOff>9368</xdr:rowOff>
    </xdr:to>
    <xdr:sp macro="" textlink="Pivots!D10">
      <xdr:nvSpPr>
        <xdr:cNvPr id="45" name="TextBox 44">
          <a:extLst>
            <a:ext uri="{FF2B5EF4-FFF2-40B4-BE49-F238E27FC236}">
              <a16:creationId xmlns:a16="http://schemas.microsoft.com/office/drawing/2014/main" id="{1D0B9B4A-8E62-4171-B754-4531B52F6FC2}"/>
            </a:ext>
          </a:extLst>
        </xdr:cNvPr>
        <xdr:cNvSpPr txBox="1"/>
      </xdr:nvSpPr>
      <xdr:spPr>
        <a:xfrm>
          <a:off x="670979" y="5358582"/>
          <a:ext cx="1322643" cy="27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BF3FAC-9544-42D7-A29B-A893F92E5DC9}" type="TxLink">
            <a:rPr lang="en-US" sz="1100" b="0" i="0" u="none" strike="noStrike">
              <a:solidFill>
                <a:schemeClr val="accent6">
                  <a:lumMod val="20000"/>
                  <a:lumOff val="80000"/>
                </a:schemeClr>
              </a:solidFill>
              <a:latin typeface="Arial Rounded MT Bold" panose="020F0704030504030204" pitchFamily="34" charset="0"/>
              <a:cs typeface="Arial"/>
            </a:rPr>
            <a:pPr algn="ctr"/>
            <a:t>3.9</a:t>
          </a:fld>
          <a:endParaRPr lang="en-IN" sz="1100">
            <a:solidFill>
              <a:schemeClr val="accent6">
                <a:lumMod val="20000"/>
                <a:lumOff val="80000"/>
              </a:schemeClr>
            </a:solidFill>
            <a:latin typeface="Arial Rounded MT Bold" panose="020F0704030504030204" pitchFamily="34" charset="0"/>
          </a:endParaRPr>
        </a:p>
      </xdr:txBody>
    </xdr:sp>
    <xdr:clientData/>
  </xdr:twoCellAnchor>
  <xdr:twoCellAnchor>
    <xdr:from>
      <xdr:col>1</xdr:col>
      <xdr:colOff>0</xdr:colOff>
      <xdr:row>35</xdr:row>
      <xdr:rowOff>6387</xdr:rowOff>
    </xdr:from>
    <xdr:to>
      <xdr:col>3</xdr:col>
      <xdr:colOff>13081</xdr:colOff>
      <xdr:row>40</xdr:row>
      <xdr:rowOff>403</xdr:rowOff>
    </xdr:to>
    <xdr:sp macro="" textlink="Pivots!E4">
      <xdr:nvSpPr>
        <xdr:cNvPr id="46" name="Rectangle 45">
          <a:extLst>
            <a:ext uri="{FF2B5EF4-FFF2-40B4-BE49-F238E27FC236}">
              <a16:creationId xmlns:a16="http://schemas.microsoft.com/office/drawing/2014/main" id="{68EDCA40-B8DC-4116-996F-D339365719C8}"/>
            </a:ext>
          </a:extLst>
        </xdr:cNvPr>
        <xdr:cNvSpPr/>
      </xdr:nvSpPr>
      <xdr:spPr>
        <a:xfrm>
          <a:off x="435429" y="6102387"/>
          <a:ext cx="1354201" cy="864873"/>
        </a:xfrm>
        <a:prstGeom prst="rect">
          <a:avLst/>
        </a:prstGeom>
        <a:solidFill>
          <a:schemeClr val="accent6"/>
        </a:solidFill>
        <a:ln>
          <a:solidFill>
            <a:schemeClr val="tx1"/>
          </a:solid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40CD82-9492-48D7-9BA0-E23C0400BA3A}" type="TxLink">
            <a:rPr lang="en-US" sz="1100" b="0" i="0" u="none" strike="noStrike">
              <a:solidFill>
                <a:schemeClr val="bg1"/>
              </a:solidFill>
              <a:latin typeface="Arial Black" panose="020B0A04020102020204" pitchFamily="34" charset="0"/>
              <a:cs typeface="Arial"/>
            </a:rPr>
            <a:pPr algn="ctr"/>
            <a:t>307</a:t>
          </a:fld>
          <a:endParaRPr lang="en-US" sz="2400">
            <a:solidFill>
              <a:schemeClr val="bg1"/>
            </a:solidFill>
            <a:latin typeface="Arial Black" panose="020B0A04020102020204" pitchFamily="34" charset="0"/>
          </a:endParaRPr>
        </a:p>
      </xdr:txBody>
    </xdr:sp>
    <xdr:clientData/>
  </xdr:twoCellAnchor>
  <xdr:twoCellAnchor>
    <xdr:from>
      <xdr:col>1</xdr:col>
      <xdr:colOff>111761</xdr:colOff>
      <xdr:row>35</xdr:row>
      <xdr:rowOff>13063</xdr:rowOff>
    </xdr:from>
    <xdr:to>
      <xdr:col>3</xdr:col>
      <xdr:colOff>104502</xdr:colOff>
      <xdr:row>36</xdr:row>
      <xdr:rowOff>69669</xdr:rowOff>
    </xdr:to>
    <xdr:sp macro="" textlink="">
      <xdr:nvSpPr>
        <xdr:cNvPr id="47" name="TextBox 46">
          <a:extLst>
            <a:ext uri="{FF2B5EF4-FFF2-40B4-BE49-F238E27FC236}">
              <a16:creationId xmlns:a16="http://schemas.microsoft.com/office/drawing/2014/main" id="{FB96159C-C05C-4AFD-A949-047FD929E901}"/>
            </a:ext>
          </a:extLst>
        </xdr:cNvPr>
        <xdr:cNvSpPr txBox="1"/>
      </xdr:nvSpPr>
      <xdr:spPr>
        <a:xfrm>
          <a:off x="547190" y="6109063"/>
          <a:ext cx="1333861" cy="230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ln>
                <a:noFill/>
              </a:ln>
              <a:solidFill>
                <a:schemeClr val="bg1"/>
              </a:solidFill>
              <a:latin typeface="Arial Rounded MT Bold" panose="020F0704030504030204" pitchFamily="34" charset="0"/>
            </a:rPr>
            <a:t>HAPPY</a:t>
          </a:r>
          <a:r>
            <a:rPr lang="en-IN" sz="1000" baseline="0">
              <a:ln>
                <a:noFill/>
              </a:ln>
              <a:solidFill>
                <a:schemeClr val="bg1"/>
              </a:solidFill>
              <a:latin typeface="Arial Rounded MT Bold" panose="020F0704030504030204" pitchFamily="34" charset="0"/>
            </a:rPr>
            <a:t> CALLERS</a:t>
          </a:r>
          <a:endParaRPr lang="en-IN" sz="1000">
            <a:ln>
              <a:noFill/>
            </a:ln>
            <a:solidFill>
              <a:schemeClr val="tx1"/>
            </a:solidFill>
          </a:endParaRPr>
        </a:p>
      </xdr:txBody>
    </xdr:sp>
    <xdr:clientData/>
  </xdr:twoCellAnchor>
  <xdr:twoCellAnchor>
    <xdr:from>
      <xdr:col>1</xdr:col>
      <xdr:colOff>2764</xdr:colOff>
      <xdr:row>38</xdr:row>
      <xdr:rowOff>100781</xdr:rowOff>
    </xdr:from>
    <xdr:to>
      <xdr:col>2</xdr:col>
      <xdr:colOff>657191</xdr:colOff>
      <xdr:row>40</xdr:row>
      <xdr:rowOff>26952</xdr:rowOff>
    </xdr:to>
    <xdr:sp macro="" textlink="Pivots!E10">
      <xdr:nvSpPr>
        <xdr:cNvPr id="49" name="TextBox 48">
          <a:extLst>
            <a:ext uri="{FF2B5EF4-FFF2-40B4-BE49-F238E27FC236}">
              <a16:creationId xmlns:a16="http://schemas.microsoft.com/office/drawing/2014/main" id="{03A95649-663D-4E18-AD75-2949E3DA024F}"/>
            </a:ext>
          </a:extLst>
        </xdr:cNvPr>
        <xdr:cNvSpPr txBox="1"/>
      </xdr:nvSpPr>
      <xdr:spPr>
        <a:xfrm>
          <a:off x="673324" y="6760661"/>
          <a:ext cx="1324987" cy="276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FC38D5-367F-4DE9-92D0-83876D864B5E}" type="TxLink">
            <a:rPr lang="en-US" sz="1100" b="0" i="0" u="none" strike="noStrike">
              <a:solidFill>
                <a:schemeClr val="accent6">
                  <a:lumMod val="20000"/>
                  <a:lumOff val="80000"/>
                </a:schemeClr>
              </a:solidFill>
              <a:latin typeface="Arial Rounded MT Bold" panose="020F0704030504030204" pitchFamily="34" charset="0"/>
              <a:cs typeface="Arial"/>
            </a:rPr>
            <a:pPr algn="ctr"/>
            <a:t>245</a:t>
          </a:fld>
          <a:endParaRPr lang="en-IN" sz="1100">
            <a:solidFill>
              <a:schemeClr val="accent6">
                <a:lumMod val="20000"/>
                <a:lumOff val="80000"/>
              </a:schemeClr>
            </a:solidFill>
            <a:latin typeface="Arial Rounded MT Bold" panose="020F0704030504030204" pitchFamily="34" charset="0"/>
          </a:endParaRPr>
        </a:p>
      </xdr:txBody>
    </xdr:sp>
    <xdr:clientData/>
  </xdr:twoCellAnchor>
  <xdr:twoCellAnchor>
    <xdr:from>
      <xdr:col>12</xdr:col>
      <xdr:colOff>629739</xdr:colOff>
      <xdr:row>5</xdr:row>
      <xdr:rowOff>12055</xdr:rowOff>
    </xdr:from>
    <xdr:to>
      <xdr:col>16</xdr:col>
      <xdr:colOff>26894</xdr:colOff>
      <xdr:row>14</xdr:row>
      <xdr:rowOff>17930</xdr:rowOff>
    </xdr:to>
    <xdr:graphicFrame macro="">
      <xdr:nvGraphicFramePr>
        <xdr:cNvPr id="52" name="Chart 51">
          <a:extLst>
            <a:ext uri="{FF2B5EF4-FFF2-40B4-BE49-F238E27FC236}">
              <a16:creationId xmlns:a16="http://schemas.microsoft.com/office/drawing/2014/main" id="{755CC5A1-4021-4EB4-A1B0-35D42E16E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654634</xdr:colOff>
      <xdr:row>25</xdr:row>
      <xdr:rowOff>2156</xdr:rowOff>
    </xdr:from>
    <xdr:to>
      <xdr:col>15</xdr:col>
      <xdr:colOff>195942</xdr:colOff>
      <xdr:row>34</xdr:row>
      <xdr:rowOff>169688</xdr:rowOff>
    </xdr:to>
    <mc:AlternateContent xmlns:mc="http://schemas.openxmlformats.org/markup-compatibility/2006">
      <mc:Choice xmlns:a14="http://schemas.microsoft.com/office/drawing/2010/main" Requires="a14">
        <xdr:graphicFrame macro="">
          <xdr:nvGraphicFramePr>
            <xdr:cNvPr id="59" name="Representative 1">
              <a:extLst>
                <a:ext uri="{FF2B5EF4-FFF2-40B4-BE49-F238E27FC236}">
                  <a16:creationId xmlns:a16="http://schemas.microsoft.com/office/drawing/2014/main" id="{AC88397D-80E6-E9BF-4130-FF8CE2E1FBD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8043725" y="4620338"/>
              <a:ext cx="1550217" cy="172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385481</xdr:colOff>
      <xdr:row>3</xdr:row>
      <xdr:rowOff>0</xdr:rowOff>
    </xdr:from>
    <xdr:to>
      <xdr:col>12</xdr:col>
      <xdr:colOff>672352</xdr:colOff>
      <xdr:row>16</xdr:row>
      <xdr:rowOff>0</xdr:rowOff>
    </xdr:to>
    <xdr:graphicFrame macro="">
      <xdr:nvGraphicFramePr>
        <xdr:cNvPr id="51" name="Chart 50">
          <a:extLst>
            <a:ext uri="{FF2B5EF4-FFF2-40B4-BE49-F238E27FC236}">
              <a16:creationId xmlns:a16="http://schemas.microsoft.com/office/drawing/2014/main" id="{4F9539E5-44AF-42E7-9ED8-55C525CB1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19</xdr:row>
      <xdr:rowOff>0</xdr:rowOff>
    </xdr:from>
    <xdr:to>
      <xdr:col>13</xdr:col>
      <xdr:colOff>0</xdr:colOff>
      <xdr:row>40</xdr:row>
      <xdr:rowOff>0</xdr:rowOff>
    </xdr:to>
    <xdr:sp macro="" textlink="">
      <xdr:nvSpPr>
        <xdr:cNvPr id="57" name="Rectangle 56">
          <a:extLst>
            <a:ext uri="{FF2B5EF4-FFF2-40B4-BE49-F238E27FC236}">
              <a16:creationId xmlns:a16="http://schemas.microsoft.com/office/drawing/2014/main" id="{B2929C21-4FC3-0F85-13F1-7DECD9BA5436}"/>
            </a:ext>
          </a:extLst>
        </xdr:cNvPr>
        <xdr:cNvSpPr/>
      </xdr:nvSpPr>
      <xdr:spPr>
        <a:xfrm>
          <a:off x="2164080" y="3329940"/>
          <a:ext cx="5890260" cy="368046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19</xdr:row>
      <xdr:rowOff>8965</xdr:rowOff>
    </xdr:from>
    <xdr:to>
      <xdr:col>8</xdr:col>
      <xdr:colOff>523238</xdr:colOff>
      <xdr:row>40</xdr:row>
      <xdr:rowOff>0</xdr:rowOff>
    </xdr:to>
    <xdr:graphicFrame macro="">
      <xdr:nvGraphicFramePr>
        <xdr:cNvPr id="53" name="Chart 52">
          <a:extLst>
            <a:ext uri="{FF2B5EF4-FFF2-40B4-BE49-F238E27FC236}">
              <a16:creationId xmlns:a16="http://schemas.microsoft.com/office/drawing/2014/main" id="{C9567FBE-45C1-463C-A81E-F98B005C7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519545</xdr:colOff>
      <xdr:row>19</xdr:row>
      <xdr:rowOff>10510</xdr:rowOff>
    </xdr:from>
    <xdr:to>
      <xdr:col>12</xdr:col>
      <xdr:colOff>663058</xdr:colOff>
      <xdr:row>40</xdr:row>
      <xdr:rowOff>15</xdr:rowOff>
    </xdr:to>
    <xdr:graphicFrame macro="">
      <xdr:nvGraphicFramePr>
        <xdr:cNvPr id="54" name="Chart 53">
          <a:extLst>
            <a:ext uri="{FF2B5EF4-FFF2-40B4-BE49-F238E27FC236}">
              <a16:creationId xmlns:a16="http://schemas.microsoft.com/office/drawing/2014/main" id="{03D69B36-F1BB-42B0-8EEF-797AFAE47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519545</xdr:colOff>
      <xdr:row>19</xdr:row>
      <xdr:rowOff>26894</xdr:rowOff>
    </xdr:from>
    <xdr:to>
      <xdr:col>12</xdr:col>
      <xdr:colOff>663058</xdr:colOff>
      <xdr:row>40</xdr:row>
      <xdr:rowOff>3717</xdr:rowOff>
    </xdr:to>
    <xdr:graphicFrame macro="">
      <xdr:nvGraphicFramePr>
        <xdr:cNvPr id="58" name="Chart 57">
          <a:extLst>
            <a:ext uri="{FF2B5EF4-FFF2-40B4-BE49-F238E27FC236}">
              <a16:creationId xmlns:a16="http://schemas.microsoft.com/office/drawing/2014/main" id="{5729FE79-C029-19FE-C022-9C749660C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71718</xdr:colOff>
      <xdr:row>11</xdr:row>
      <xdr:rowOff>25870</xdr:rowOff>
    </xdr:from>
    <xdr:to>
      <xdr:col>1</xdr:col>
      <xdr:colOff>335294</xdr:colOff>
      <xdr:row>12</xdr:row>
      <xdr:rowOff>95794</xdr:rowOff>
    </xdr:to>
    <xdr:pic>
      <xdr:nvPicPr>
        <xdr:cNvPr id="60" name="Graphic 59" descr="Shopping cart with solid fill">
          <a:extLst>
            <a:ext uri="{FF2B5EF4-FFF2-40B4-BE49-F238E27FC236}">
              <a16:creationId xmlns:a16="http://schemas.microsoft.com/office/drawing/2014/main" id="{1621C218-3D99-4E25-8DC3-8AF738FA53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7147" y="1941756"/>
          <a:ext cx="263576" cy="244095"/>
        </a:xfrm>
        <a:prstGeom prst="rect">
          <a:avLst/>
        </a:prstGeom>
      </xdr:spPr>
    </xdr:pic>
    <xdr:clientData/>
  </xdr:twoCellAnchor>
  <xdr:twoCellAnchor editAs="oneCell">
    <xdr:from>
      <xdr:col>1</xdr:col>
      <xdr:colOff>65314</xdr:colOff>
      <xdr:row>19</xdr:row>
      <xdr:rowOff>52252</xdr:rowOff>
    </xdr:from>
    <xdr:to>
      <xdr:col>1</xdr:col>
      <xdr:colOff>296091</xdr:colOff>
      <xdr:row>20</xdr:row>
      <xdr:rowOff>106058</xdr:rowOff>
    </xdr:to>
    <xdr:pic>
      <xdr:nvPicPr>
        <xdr:cNvPr id="61" name="Graphic 60" descr="Hourglass Finished with solid fill">
          <a:extLst>
            <a:ext uri="{FF2B5EF4-FFF2-40B4-BE49-F238E27FC236}">
              <a16:creationId xmlns:a16="http://schemas.microsoft.com/office/drawing/2014/main" id="{450E543F-5051-4708-8BB3-6B128412976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0743" y="3361509"/>
          <a:ext cx="230777" cy="227978"/>
        </a:xfrm>
        <a:prstGeom prst="rect">
          <a:avLst/>
        </a:prstGeom>
      </xdr:spPr>
    </xdr:pic>
    <xdr:clientData/>
  </xdr:twoCellAnchor>
  <xdr:twoCellAnchor editAs="oneCell">
    <xdr:from>
      <xdr:col>1</xdr:col>
      <xdr:colOff>69668</xdr:colOff>
      <xdr:row>27</xdr:row>
      <xdr:rowOff>30479</xdr:rowOff>
    </xdr:from>
    <xdr:to>
      <xdr:col>1</xdr:col>
      <xdr:colOff>252548</xdr:colOff>
      <xdr:row>28</xdr:row>
      <xdr:rowOff>34771</xdr:rowOff>
    </xdr:to>
    <xdr:pic>
      <xdr:nvPicPr>
        <xdr:cNvPr id="62" name="Graphic 61" descr="Rating Star with solid fill">
          <a:extLst>
            <a:ext uri="{FF2B5EF4-FFF2-40B4-BE49-F238E27FC236}">
              <a16:creationId xmlns:a16="http://schemas.microsoft.com/office/drawing/2014/main" id="{682A52CE-22B6-424C-8CD4-DE48091A38A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505097" y="4733108"/>
          <a:ext cx="182880" cy="178463"/>
        </a:xfrm>
        <a:prstGeom prst="rect">
          <a:avLst/>
        </a:prstGeom>
      </xdr:spPr>
    </xdr:pic>
    <xdr:clientData/>
  </xdr:twoCellAnchor>
  <xdr:twoCellAnchor editAs="oneCell">
    <xdr:from>
      <xdr:col>1</xdr:col>
      <xdr:colOff>8708</xdr:colOff>
      <xdr:row>35</xdr:row>
      <xdr:rowOff>18362</xdr:rowOff>
    </xdr:from>
    <xdr:to>
      <xdr:col>1</xdr:col>
      <xdr:colOff>248717</xdr:colOff>
      <xdr:row>36</xdr:row>
      <xdr:rowOff>78376</xdr:rowOff>
    </xdr:to>
    <xdr:pic>
      <xdr:nvPicPr>
        <xdr:cNvPr id="63" name="Graphic 62" descr="Star-struck face outline with solid fill">
          <a:extLst>
            <a:ext uri="{FF2B5EF4-FFF2-40B4-BE49-F238E27FC236}">
              <a16:creationId xmlns:a16="http://schemas.microsoft.com/office/drawing/2014/main" id="{39723183-5FA0-43BE-B3D5-FC1D9577484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44137" y="6114362"/>
          <a:ext cx="240009" cy="234186"/>
        </a:xfrm>
        <a:prstGeom prst="rect">
          <a:avLst/>
        </a:prstGeom>
      </xdr:spPr>
    </xdr:pic>
    <xdr:clientData/>
  </xdr:twoCellAnchor>
  <xdr:twoCellAnchor>
    <xdr:from>
      <xdr:col>17</xdr:col>
      <xdr:colOff>0</xdr:colOff>
      <xdr:row>3</xdr:row>
      <xdr:rowOff>0</xdr:rowOff>
    </xdr:from>
    <xdr:to>
      <xdr:col>20</xdr:col>
      <xdr:colOff>990600</xdr:colOff>
      <xdr:row>16</xdr:row>
      <xdr:rowOff>0</xdr:rowOff>
    </xdr:to>
    <xdr:graphicFrame macro="">
      <xdr:nvGraphicFramePr>
        <xdr:cNvPr id="64" name="Chart 63">
          <a:extLst>
            <a:ext uri="{FF2B5EF4-FFF2-40B4-BE49-F238E27FC236}">
              <a16:creationId xmlns:a16="http://schemas.microsoft.com/office/drawing/2014/main" id="{CD82BF67-1A18-4015-ACA3-45A2C56E3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174172</xdr:colOff>
      <xdr:row>3</xdr:row>
      <xdr:rowOff>0</xdr:rowOff>
    </xdr:from>
    <xdr:to>
      <xdr:col>24</xdr:col>
      <xdr:colOff>0</xdr:colOff>
      <xdr:row>16</xdr:row>
      <xdr:rowOff>1</xdr:rowOff>
    </xdr:to>
    <xdr:graphicFrame macro="">
      <xdr:nvGraphicFramePr>
        <xdr:cNvPr id="65" name="Chart 64">
          <a:extLst>
            <a:ext uri="{FF2B5EF4-FFF2-40B4-BE49-F238E27FC236}">
              <a16:creationId xmlns:a16="http://schemas.microsoft.com/office/drawing/2014/main" id="{7DE1CED5-086C-4848-BBD3-1182D5855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35827083331" backgroundQuery="1" createdVersion="8" refreshedVersion="8" minRefreshableVersion="3" recordCount="0" supportSubquery="1" supportAdvancedDrill="1" xr:uid="{AA04C1F5-E9CF-4433-B757-3EE4BBEA6EDA}">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35828125001" backgroundQuery="1" createdVersion="8" refreshedVersion="8" minRefreshableVersion="3" recordCount="0" supportSubquery="1" supportAdvancedDrill="1" xr:uid="{D29DFF15-ADF6-4037-A392-6DAE9E56C72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35829398148" backgroundQuery="1" createdVersion="8" refreshedVersion="8" minRefreshableVersion="3" recordCount="0" supportSubquery="1" supportAdvancedDrill="1" xr:uid="{713FCDE7-E52D-435F-8CDB-FD05E3103A25}">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39892476852" backgroundQuery="1" createdVersion="8" refreshedVersion="8" minRefreshableVersion="3" recordCount="0" supportSubquery="1" supportAdvancedDrill="1" xr:uid="{2F4B0D68-C5EA-4C6A-A90F-2BBA970D4E91}">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54176620368" backgroundQuery="1" createdVersion="8" refreshedVersion="8" minRefreshableVersion="3" recordCount="0" supportSubquery="1" supportAdvancedDrill="1" xr:uid="{A2AA4497-8886-4084-B078-4D2AD32B54A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54177314814" backgroundQuery="1" createdVersion="8" refreshedVersion="8" minRefreshableVersion="3" recordCount="0" supportSubquery="1" supportAdvancedDrill="1" xr:uid="{2B429116-2D38-46D9-A809-AF472131CE8C}">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28">
        <d v="2023-01-01T00:00:00"/>
        <d v="2023-01-02T00:00:00"/>
        <d v="2023-01-03T00:00:00"/>
        <d v="2023-01-04T00:00:00"/>
        <d v="2023-01-05T00:00:00"/>
        <d v="2023-01-08T00:00:00"/>
        <d v="2023-01-10T00:00:00"/>
        <d v="2023-01-12T00:00:00"/>
        <d v="2023-01-14T00:00:00"/>
        <d v="2023-01-16T00:00:00"/>
        <d v="2023-01-18T00:00:00"/>
        <d v="2023-01-19T00:00:00"/>
        <d v="2023-01-20T00:00:00"/>
        <d v="2023-01-21T00:00:00"/>
        <d v="2023-01-22T00:00:00"/>
        <d v="2023-01-23T00:00:00"/>
        <d v="2023-01-24T00:00:00"/>
        <d v="2023-01-26T00:00:00"/>
        <d v="2023-01-27T00:00:00"/>
        <d v="2023-01-28T00:00:00"/>
        <d v="2023-01-30T00:00:00"/>
        <d v="2023-02-02T00:00:00"/>
        <d v="2023-02-04T00:00:00"/>
        <d v="2023-02-05T00:00:00"/>
        <d v="2023-02-07T00:00:00"/>
        <d v="2023-02-08T00:00:00"/>
        <d v="2023-02-10T00:00:00"/>
        <d v="2023-02-12T00:00:00"/>
        <d v="2023-02-13T00:00:00"/>
        <d v="2023-02-15T00:00:00"/>
        <d v="2023-02-16T00:00:00"/>
        <d v="2023-02-18T00:00:00"/>
        <d v="2023-02-19T00:00:00"/>
        <d v="2023-02-20T00:00:00"/>
        <d v="2023-02-22T00:00:00"/>
        <d v="2023-02-24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5T00:00:00"/>
        <d v="2023-03-26T00:00:00"/>
        <d v="2023-03-27T00:00:00"/>
        <d v="2023-03-28T00:00:00"/>
        <d v="2023-03-31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0T00:00:00"/>
        <d v="2023-04-21T00:00:00"/>
        <d v="2023-04-22T00:00:00"/>
        <d v="2023-04-23T00:00:00"/>
        <d v="2023-04-24T00:00:00"/>
        <d v="2023-04-25T00:00:00"/>
        <d v="2023-04-26T00:00:00"/>
        <d v="2023-04-28T00:00:00"/>
        <d v="2023-04-29T00:00:00"/>
        <d v="2023-05-01T00:00:00"/>
        <d v="2023-05-03T00:00:00"/>
        <d v="2023-05-04T00:00:00"/>
        <d v="2023-05-08T00:00:00"/>
        <d v="2023-05-09T00:00:00"/>
        <d v="2023-05-11T00:00:00"/>
        <d v="2023-05-12T00:00:00"/>
        <d v="2023-05-14T00:00:00"/>
        <d v="2023-05-15T00:00:00"/>
        <d v="2023-05-16T00:00:00"/>
        <d v="2023-05-17T00:00:00"/>
        <d v="2023-05-21T00:00:00"/>
        <d v="2023-05-22T00:00:00"/>
        <d v="2023-05-24T00:00:00"/>
        <d v="2023-05-26T00:00:00"/>
        <d v="2023-05-28T00:00:00"/>
        <d v="2023-05-30T00:00:00"/>
        <d v="2023-05-31T00:00:00"/>
        <d v="2023-06-01T00:00:00"/>
        <d v="2023-06-03T00:00:00"/>
        <d v="2023-06-04T00:00:00"/>
        <d v="2023-06-05T00:00:00"/>
        <d v="2023-06-06T00:00:00"/>
        <d v="2023-06-08T00:00:00"/>
        <d v="2023-06-10T00:00:00"/>
        <d v="2023-06-11T00:00:00"/>
        <d v="2023-06-14T00:00:00"/>
        <d v="2023-06-15T00:00:00"/>
        <d v="2023-06-16T00:00:00"/>
        <d v="2023-06-20T00:00:00"/>
        <d v="2023-06-21T00:00:00"/>
        <d v="2023-06-23T00:00:00"/>
        <d v="2023-06-25T00:00:00"/>
        <d v="2023-06-26T00:00:00"/>
        <d v="2023-06-27T00:00:00"/>
        <d v="2023-07-01T00:00:00"/>
        <d v="2023-07-02T00:00:00"/>
        <d v="2023-07-06T00:00:00"/>
        <d v="2023-07-07T00:00:00"/>
        <d v="2023-07-08T00:00:00"/>
        <d v="2023-07-10T00:00:00"/>
        <d v="2023-07-11T00:00:00"/>
        <d v="2023-07-12T00:00:00"/>
        <d v="2023-07-13T00:00:00"/>
        <d v="2023-07-14T00:00:00"/>
        <d v="2023-07-16T00:00:00"/>
        <d v="2023-07-17T00:00:00"/>
        <d v="2023-07-20T00:00:00"/>
        <d v="2023-07-21T00:00:00"/>
        <d v="2023-07-22T00:00:00"/>
        <d v="2023-07-25T00:00:00"/>
        <d v="2023-07-31T00:00:00"/>
        <d v="2023-08-03T00:00:00"/>
        <d v="2023-08-04T00:00:00"/>
        <d v="2023-08-05T00:00:00"/>
        <d v="2023-08-06T00:00:00"/>
        <d v="2023-08-08T00:00:00"/>
        <d v="2023-08-13T00:00:00"/>
        <d v="2023-08-17T00:00:00"/>
        <d v="2023-08-19T00:00:00"/>
        <d v="2023-08-20T00:00:00"/>
        <d v="2023-08-21T00:00:00"/>
        <d v="2023-08-24T00:00:00"/>
        <d v="2023-08-25T00:00:00"/>
        <d v="2023-08-26T00:00:00"/>
        <d v="2023-08-30T00:00:00"/>
        <d v="2023-08-31T00:00:00"/>
        <d v="2023-09-03T00:00:00"/>
        <d v="2023-09-04T00:00:00"/>
        <d v="2023-09-08T00:00:00"/>
        <d v="2023-09-09T00:00:00"/>
        <d v="2023-09-10T00:00:00"/>
        <d v="2023-09-12T00:00:00"/>
        <d v="2023-09-14T00:00:00"/>
        <d v="2023-09-16T00:00:00"/>
        <d v="2023-09-21T00:00:00"/>
        <d v="2023-09-22T00:00:00"/>
        <d v="2023-09-23T00:00:00"/>
        <d v="2023-09-24T00:00:00"/>
        <d v="2023-09-25T00:00:00"/>
        <d v="2023-09-27T00:00:00"/>
        <d v="2023-09-29T00:00:00"/>
        <d v="2023-09-30T00:00:00"/>
        <d v="2023-10-01T00:00:00"/>
        <d v="2023-10-02T00:00:00"/>
        <d v="2023-10-03T00:00:00"/>
        <d v="2023-10-05T00:00:00"/>
        <d v="2023-10-06T00:00:00"/>
        <d v="2023-10-08T00:00:00"/>
        <d v="2023-10-10T00:00:00"/>
        <d v="2023-10-11T00:00:00"/>
        <d v="2023-10-12T00:00:00"/>
        <d v="2023-10-13T00:00:00"/>
        <d v="2023-10-14T00:00:00"/>
        <d v="2023-10-15T00:00:00"/>
        <d v="2023-10-16T00:00:00"/>
        <d v="2023-10-18T00:00:00"/>
        <d v="2023-10-19T00:00:00"/>
        <d v="2023-10-20T00:00:00"/>
        <d v="2023-10-21T00:00:00"/>
        <d v="2023-10-22T00:00:00"/>
        <d v="2023-10-24T00:00:00"/>
        <d v="2023-10-25T00:00:00"/>
        <d v="2023-10-26T00:00:00"/>
        <d v="2023-10-27T00:00:00"/>
        <d v="2023-10-28T00:00:00"/>
        <d v="2023-10-29T00:00:00"/>
        <d v="2023-11-01T00:00:00"/>
        <d v="2023-11-04T00:00:00"/>
        <d v="2023-11-06T00:00:00"/>
        <d v="2023-11-08T00:00:00"/>
        <d v="2023-11-10T00:00:00"/>
        <d v="2023-11-13T00:00:00"/>
        <d v="2023-11-14T00:00:00"/>
        <d v="2023-11-15T00:00:00"/>
        <d v="2023-11-16T00:00:00"/>
        <d v="2023-11-17T00:00:00"/>
        <d v="2023-11-18T00:00:00"/>
        <d v="2023-11-19T00:00:00"/>
        <d v="2023-11-21T00:00:00"/>
        <d v="2023-11-23T00:00:00"/>
        <d v="2023-11-24T00:00:00"/>
        <d v="2023-11-26T00:00:00"/>
        <d v="2023-11-27T00:00:00"/>
        <d v="2023-11-28T00:00:00"/>
        <d v="2023-11-30T00:00:00"/>
        <d v="2023-12-02T00:00:00"/>
        <d v="2023-12-03T00:00:00"/>
        <d v="2023-12-08T00:00:00"/>
        <d v="2023-12-09T00:00:00"/>
        <d v="2023-12-13T00:00:00"/>
        <d v="2023-12-15T00:00:00"/>
        <d v="2023-12-17T00:00:00"/>
        <d v="2023-12-20T00:00:00"/>
        <d v="2023-12-21T00:00:00"/>
        <d v="2023-12-25T00:00:00"/>
        <d v="2023-12-26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54177662038" backgroundQuery="1" createdVersion="8" refreshedVersion="8" minRefreshableVersion="3" recordCount="0" supportSubquery="1" supportAdvancedDrill="1" xr:uid="{6CE187E8-CE65-4B89-B490-67786FFDA67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54178009261" backgroundQuery="1" createdVersion="8" refreshedVersion="8" minRefreshableVersion="3" recordCount="0" supportSubquery="1" supportAdvancedDrill="1" xr:uid="{2EF4D701-BF8A-4D57-B362-5A06CCEDD9AD}">
  <cacheSource type="external" connectionId="1"/>
  <cacheFields count="1">
    <cacheField name="[calls].[Representative].[Representative]" caption="Representative" numFmtId="0" hierarchy="3" level="1">
      <sharedItems count="4">
        <s v="R01"/>
        <s v="R02"/>
        <s v="R03"/>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54178472223" backgroundQuery="1" createdVersion="8" refreshedVersion="8" minRefreshableVersion="3" recordCount="0" supportSubquery="1" supportAdvancedDrill="1" xr:uid="{B37C1995-EF31-4123-82ED-B83DA97A64BE}">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RJIN HUBERT" refreshedDate="45982.035830092595" backgroundQuery="1" createdVersion="3" refreshedVersion="8" minRefreshableVersion="3" recordCount="0" supportSubquery="1" supportAdvancedDrill="1" xr:uid="{5C3A541D-3D53-435C-BD48-D373B9DB9D2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54691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FE8E6E-F2F1-4BEA-8B97-E5A5801162D8}" name="Reps pivot"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3:C3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4827D-D3AC-4DF7-849F-628932AD00F2}" name="Rep Amounts" cacheId="7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72:G9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D12387-EF11-42E9-8967-60F034052D12}" name="PivotTable10" cacheId="2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 ">
  <location ref="E16:F24"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4">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4" level="1">
        <member name="[calls].[Representative].&amp;[R01]"/>
        <member name="[calls].[Representative].&amp;[R02]"/>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C84ECF-0DB0-41FA-81E7-730ACB74E2C5}" name="Rep Satisfaction" cacheId="2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2:B6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4" level="1">
        <member name="[calls].[Representative].&amp;[R01]"/>
        <member name="[calls].[Representative].&amp;[R02]"/>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D00AD6-A16A-4CC9-A59C-F5088A096AA7}" name="PivotTable9" cacheId="2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6:C2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4" level="1">
        <member name="[calls].[Representative].&amp;[R01]"/>
        <member name="[calls].[Representative].&amp;[R02]"/>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649BA-549C-4E7B-8C04-F12738DF1E24}" name="Rep pivot" cacheId="2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4" level="1">
        <member name="[calls].[Representative].&amp;[R01]"/>
        <member name="[calls].[Representative].&amp;[R02]"/>
        <member name="[calls].[Representative].&amp;[R03]"/>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FCF2E3-F9A1-4BD6-9243-819C1E10E2E5}" name="PivotTable1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0:D5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3">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913B47-CDF6-4CBE-B0F7-4627B4D5CDD8}" name="Summary Pivot"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E28549-22EA-4C5C-AC05-088C51DEC9D0}" name="Selected Rep" cacheId="27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C44:C48" firstHeaderRow="1" firstDataRow="1" firstDataCol="1"/>
  <pivotFields count="1">
    <pivotField axis="axisRow" allDrilled="1" subtotalTop="0" showAll="0" dataSourceSort="1" defaultSubtotal="0" defaultAttributeDrillState="1">
      <items count="4">
        <item s="1" x="0"/>
        <item s="1" x="1"/>
        <item s="1" x="2"/>
        <item s="1" x="3"/>
      </items>
    </pivotField>
  </pivotFields>
  <rowFields count="1">
    <field x="0"/>
  </rowFields>
  <rowItems count="4">
    <i>
      <x/>
    </i>
    <i>
      <x v="1"/>
    </i>
    <i>
      <x v="2"/>
    </i>
    <i>
      <x v="3"/>
    </i>
  </rowItems>
  <formats count="2">
    <format dxfId="16">
      <pivotArea dataOnly="0" labelOnly="1" fieldPosition="0">
        <references count="1">
          <reference field="0" count="0"/>
        </references>
      </pivotArea>
    </format>
    <format dxfId="15">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4577003-5E92-44C1-A313-A9CA1AEB1FB7}" sourceName="[calls].[Representative]">
  <pivotTables>
    <pivotTable tabId="6" name="Rep pivot"/>
    <pivotTable tabId="6" name="PivotTable9"/>
    <pivotTable tabId="6" name="PivotTable10"/>
    <pivotTable tabId="6" name="Selected Rep"/>
    <pivotTable tabId="6" name="Rep Satisfaction"/>
  </pivotTables>
  <data>
    <olap pivotCacheId="87546917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4">
        <selection n="[calls].[Representative].&amp;[R01]"/>
        <selection n="[calls].[Representative].&amp;[R02]"/>
        <selection n="[calls].[Representative].&amp;[R03]"/>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D45894A-DFCC-4688-8EC0-F99E7C9BA190}" cache="Slicer_Representative" caption="Representative"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inancial Year"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nd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0CA4-5294-4F0A-ACFA-4C19A540C05A}">
  <dimension ref="A3:I91"/>
  <sheetViews>
    <sheetView topLeftCell="A37" zoomScale="85" zoomScaleNormal="85" workbookViewId="0">
      <selection activeCell="D96" sqref="D96:D98"/>
    </sheetView>
  </sheetViews>
  <sheetFormatPr defaultRowHeight="13.8" x14ac:dyDescent="0.25"/>
  <cols>
    <col min="1" max="1" width="14" bestFit="1" customWidth="1"/>
    <col min="2" max="2" width="10.5" bestFit="1" customWidth="1"/>
    <col min="3" max="3" width="14" bestFit="1" customWidth="1"/>
    <col min="4" max="4" width="10.8984375" bestFit="1" customWidth="1"/>
    <col min="5" max="5" width="11.5" bestFit="1" customWidth="1"/>
    <col min="6" max="6" width="10.5" bestFit="1" customWidth="1"/>
    <col min="7" max="7" width="11.5" bestFit="1" customWidth="1"/>
    <col min="8" max="8" width="14" customWidth="1"/>
  </cols>
  <sheetData>
    <row r="3" spans="1:6" x14ac:dyDescent="0.25">
      <c r="A3" t="s">
        <v>1040</v>
      </c>
      <c r="B3" t="s">
        <v>1041</v>
      </c>
      <c r="C3" t="s">
        <v>1042</v>
      </c>
      <c r="D3" t="s">
        <v>1043</v>
      </c>
      <c r="E3" t="s">
        <v>1044</v>
      </c>
    </row>
    <row r="4" spans="1:6" x14ac:dyDescent="0.25">
      <c r="A4" s="20">
        <v>1000</v>
      </c>
      <c r="B4" s="21">
        <v>96623</v>
      </c>
      <c r="C4" s="20">
        <v>89850</v>
      </c>
      <c r="D4" s="22">
        <v>3.8854000000000033</v>
      </c>
      <c r="E4" s="20">
        <v>307</v>
      </c>
    </row>
    <row r="9" spans="1:6" x14ac:dyDescent="0.25">
      <c r="A9" t="s">
        <v>1040</v>
      </c>
      <c r="B9" t="s">
        <v>1041</v>
      </c>
      <c r="C9" t="s">
        <v>1042</v>
      </c>
      <c r="D9" t="s">
        <v>1043</v>
      </c>
      <c r="E9" t="s">
        <v>1044</v>
      </c>
    </row>
    <row r="10" spans="1:6" x14ac:dyDescent="0.25">
      <c r="A10" s="20">
        <v>814</v>
      </c>
      <c r="B10" s="21">
        <v>79972</v>
      </c>
      <c r="C10" s="20">
        <v>72043</v>
      </c>
      <c r="D10" s="22">
        <v>3.8826781326781337</v>
      </c>
      <c r="E10" s="20">
        <v>245</v>
      </c>
    </row>
    <row r="16" spans="1:6" x14ac:dyDescent="0.25">
      <c r="A16" s="23" t="s">
        <v>1045</v>
      </c>
      <c r="B16" t="s">
        <v>1040</v>
      </c>
      <c r="C16" t="s">
        <v>1059</v>
      </c>
      <c r="E16" s="23" t="s">
        <v>1039</v>
      </c>
      <c r="F16" t="s">
        <v>1040</v>
      </c>
    </row>
    <row r="17" spans="1:9" x14ac:dyDescent="0.25">
      <c r="A17" s="25" t="s">
        <v>1047</v>
      </c>
      <c r="B17" s="20">
        <v>69</v>
      </c>
      <c r="C17" s="20">
        <v>69</v>
      </c>
      <c r="E17" s="25" t="s">
        <v>1063</v>
      </c>
      <c r="F17" s="20">
        <v>121</v>
      </c>
    </row>
    <row r="18" spans="1:9" x14ac:dyDescent="0.25">
      <c r="A18" s="25" t="s">
        <v>1048</v>
      </c>
      <c r="B18" s="20">
        <v>55</v>
      </c>
      <c r="C18" s="20">
        <v>55</v>
      </c>
      <c r="E18" s="25" t="s">
        <v>1061</v>
      </c>
      <c r="F18" s="20">
        <v>110</v>
      </c>
      <c r="H18" t="s">
        <v>1073</v>
      </c>
      <c r="I18" t="str">
        <f>C45</f>
        <v>R01</v>
      </c>
    </row>
    <row r="19" spans="1:9" x14ac:dyDescent="0.25">
      <c r="A19" s="25" t="s">
        <v>1049</v>
      </c>
      <c r="B19" s="20">
        <v>125</v>
      </c>
      <c r="C19" s="20">
        <v>125</v>
      </c>
      <c r="E19" s="25" t="s">
        <v>1065</v>
      </c>
      <c r="F19" s="20">
        <v>110</v>
      </c>
    </row>
    <row r="20" spans="1:9" x14ac:dyDescent="0.25">
      <c r="A20" s="25" t="s">
        <v>1050</v>
      </c>
      <c r="B20" s="20">
        <v>113</v>
      </c>
      <c r="C20" s="20">
        <v>113</v>
      </c>
      <c r="E20" s="25" t="s">
        <v>1066</v>
      </c>
      <c r="F20" s="20">
        <v>124</v>
      </c>
    </row>
    <row r="21" spans="1:9" x14ac:dyDescent="0.25">
      <c r="A21" s="25" t="s">
        <v>1051</v>
      </c>
      <c r="B21" s="20">
        <v>61</v>
      </c>
      <c r="C21" s="20">
        <v>61</v>
      </c>
      <c r="E21" s="25" t="s">
        <v>1064</v>
      </c>
      <c r="F21" s="20">
        <v>110</v>
      </c>
    </row>
    <row r="22" spans="1:9" x14ac:dyDescent="0.25">
      <c r="A22" s="25" t="s">
        <v>1052</v>
      </c>
      <c r="B22" s="20">
        <v>56</v>
      </c>
      <c r="C22" s="20">
        <v>56</v>
      </c>
      <c r="E22" s="25" t="s">
        <v>1060</v>
      </c>
      <c r="F22" s="20">
        <v>112</v>
      </c>
    </row>
    <row r="23" spans="1:9" x14ac:dyDescent="0.25">
      <c r="A23" s="25" t="s">
        <v>1053</v>
      </c>
      <c r="B23" s="20">
        <v>47</v>
      </c>
      <c r="C23" s="20">
        <v>47</v>
      </c>
      <c r="E23" s="25" t="s">
        <v>1062</v>
      </c>
      <c r="F23" s="20">
        <v>127</v>
      </c>
    </row>
    <row r="24" spans="1:9" x14ac:dyDescent="0.25">
      <c r="A24" s="25" t="s">
        <v>1054</v>
      </c>
      <c r="B24" s="20">
        <v>38</v>
      </c>
      <c r="C24" s="20">
        <v>38</v>
      </c>
      <c r="E24" s="25" t="s">
        <v>1046</v>
      </c>
      <c r="F24" s="20">
        <v>814</v>
      </c>
    </row>
    <row r="25" spans="1:9" x14ac:dyDescent="0.25">
      <c r="A25" s="25" t="s">
        <v>1055</v>
      </c>
      <c r="B25" s="20">
        <v>63</v>
      </c>
      <c r="C25" s="20">
        <v>63</v>
      </c>
    </row>
    <row r="26" spans="1:9" x14ac:dyDescent="0.25">
      <c r="A26" s="25" t="s">
        <v>1056</v>
      </c>
      <c r="B26" s="20">
        <v>99</v>
      </c>
      <c r="C26" s="20">
        <v>99</v>
      </c>
    </row>
    <row r="27" spans="1:9" x14ac:dyDescent="0.25">
      <c r="A27" s="25" t="s">
        <v>1057</v>
      </c>
      <c r="B27" s="20">
        <v>49</v>
      </c>
      <c r="C27" s="20">
        <v>49</v>
      </c>
    </row>
    <row r="28" spans="1:9" x14ac:dyDescent="0.25">
      <c r="A28" s="25" t="s">
        <v>1058</v>
      </c>
      <c r="B28" s="20">
        <v>39</v>
      </c>
      <c r="C28" s="20">
        <v>39</v>
      </c>
    </row>
    <row r="29" spans="1:9" x14ac:dyDescent="0.25">
      <c r="A29" s="25" t="s">
        <v>1046</v>
      </c>
      <c r="B29" s="20">
        <v>814</v>
      </c>
      <c r="C29" s="20">
        <v>814</v>
      </c>
    </row>
    <row r="32" spans="1:9" x14ac:dyDescent="0.25">
      <c r="E32" t="s">
        <v>1067</v>
      </c>
    </row>
    <row r="33" spans="1:9" x14ac:dyDescent="0.25">
      <c r="A33" s="23" t="s">
        <v>1045</v>
      </c>
      <c r="B33" t="s">
        <v>1040</v>
      </c>
      <c r="C33" t="s">
        <v>1041</v>
      </c>
    </row>
    <row r="34" spans="1:9" x14ac:dyDescent="0.25">
      <c r="A34" s="25" t="s">
        <v>11</v>
      </c>
      <c r="B34" s="20">
        <v>189</v>
      </c>
      <c r="C34" s="21">
        <v>18415</v>
      </c>
      <c r="E34" t="s">
        <v>1068</v>
      </c>
      <c r="F34" t="s">
        <v>1069</v>
      </c>
      <c r="G34" t="s">
        <v>1070</v>
      </c>
      <c r="H34" t="s">
        <v>1071</v>
      </c>
      <c r="I34" t="s">
        <v>1072</v>
      </c>
    </row>
    <row r="35" spans="1:9" x14ac:dyDescent="0.25">
      <c r="A35" s="25" t="s">
        <v>9</v>
      </c>
      <c r="B35" s="20">
        <v>218</v>
      </c>
      <c r="C35" s="21">
        <v>20581</v>
      </c>
      <c r="E35" t="str" cm="1">
        <f t="array" ref="E35:G39">A34:C38</f>
        <v>R01</v>
      </c>
      <c r="F35">
        <v>189</v>
      </c>
      <c r="G35" s="27">
        <v>18415</v>
      </c>
      <c r="H35">
        <f>IF(E35=$I$18,F35,NA())</f>
        <v>189</v>
      </c>
      <c r="I35">
        <f>IF(E35=$I$18,G35,NA())</f>
        <v>18415</v>
      </c>
    </row>
    <row r="36" spans="1:9" x14ac:dyDescent="0.25">
      <c r="A36" s="25" t="s">
        <v>6</v>
      </c>
      <c r="B36" s="20">
        <v>207</v>
      </c>
      <c r="C36" s="21">
        <v>20872</v>
      </c>
      <c r="E36" t="str">
        <v>R02</v>
      </c>
      <c r="F36">
        <v>218</v>
      </c>
      <c r="G36" s="27">
        <v>20581</v>
      </c>
      <c r="H36" t="e">
        <f>IF(E36=$I$18,F36,NA())</f>
        <v>#N/A</v>
      </c>
      <c r="I36" t="e">
        <f>IF(E36=$I$18,G36,NA())</f>
        <v>#N/A</v>
      </c>
    </row>
    <row r="37" spans="1:9" x14ac:dyDescent="0.25">
      <c r="A37" s="25" t="s">
        <v>13</v>
      </c>
      <c r="B37" s="20">
        <v>186</v>
      </c>
      <c r="C37" s="21">
        <v>16651</v>
      </c>
      <c r="E37" t="str">
        <v>R03</v>
      </c>
      <c r="F37">
        <v>207</v>
      </c>
      <c r="G37" s="27">
        <v>20872</v>
      </c>
      <c r="H37" t="e">
        <f>IF(E37=$I$18,F37,NA())</f>
        <v>#N/A</v>
      </c>
      <c r="I37" t="e">
        <f>IF(E37=$I$18,G37,NA())</f>
        <v>#N/A</v>
      </c>
    </row>
    <row r="38" spans="1:9" x14ac:dyDescent="0.25">
      <c r="A38" s="25" t="s">
        <v>10</v>
      </c>
      <c r="B38" s="20">
        <v>200</v>
      </c>
      <c r="C38" s="21">
        <v>20104</v>
      </c>
      <c r="E38" t="str">
        <v>R04</v>
      </c>
      <c r="F38">
        <v>186</v>
      </c>
      <c r="G38" s="27">
        <v>16651</v>
      </c>
      <c r="H38" t="e">
        <f>IF(E38=$I$18,F38,NA())</f>
        <v>#N/A</v>
      </c>
      <c r="I38" t="e">
        <f>IF(E38=$I$18,G38,NA())</f>
        <v>#N/A</v>
      </c>
    </row>
    <row r="39" spans="1:9" x14ac:dyDescent="0.25">
      <c r="A39" s="25" t="s">
        <v>1046</v>
      </c>
      <c r="B39" s="20">
        <v>1000</v>
      </c>
      <c r="C39" s="21">
        <v>96623</v>
      </c>
      <c r="E39" t="str">
        <v>R05</v>
      </c>
      <c r="F39">
        <v>200</v>
      </c>
      <c r="G39" s="27">
        <v>20104</v>
      </c>
      <c r="H39" t="e">
        <f>IF(E39=$I$18,F39,NA())</f>
        <v>#N/A</v>
      </c>
      <c r="I39" t="e">
        <f>IF(E39=$I$18,G39,NA())</f>
        <v>#N/A</v>
      </c>
    </row>
    <row r="44" spans="1:9" x14ac:dyDescent="0.25">
      <c r="C44" s="23" t="s">
        <v>1045</v>
      </c>
    </row>
    <row r="45" spans="1:9" x14ac:dyDescent="0.25">
      <c r="C45" s="26" t="s">
        <v>11</v>
      </c>
    </row>
    <row r="46" spans="1:9" x14ac:dyDescent="0.25">
      <c r="C46" s="26" t="s">
        <v>9</v>
      </c>
    </row>
    <row r="47" spans="1:9" x14ac:dyDescent="0.25">
      <c r="C47" s="26" t="s">
        <v>6</v>
      </c>
    </row>
    <row r="48" spans="1:9" x14ac:dyDescent="0.25">
      <c r="C48" s="26" t="s">
        <v>10</v>
      </c>
    </row>
    <row r="50" spans="1:4" x14ac:dyDescent="0.25">
      <c r="A50" s="23" t="s">
        <v>1040</v>
      </c>
      <c r="B50" s="23" t="s">
        <v>1074</v>
      </c>
    </row>
    <row r="51" spans="1:4" x14ac:dyDescent="0.25">
      <c r="A51" s="23" t="s">
        <v>1045</v>
      </c>
      <c r="B51" t="s">
        <v>998</v>
      </c>
      <c r="C51" t="s">
        <v>997</v>
      </c>
      <c r="D51" t="s">
        <v>1046</v>
      </c>
    </row>
    <row r="52" spans="1:4" x14ac:dyDescent="0.25">
      <c r="A52" s="25" t="s">
        <v>1001</v>
      </c>
      <c r="B52" s="20">
        <v>144</v>
      </c>
      <c r="C52" s="20">
        <v>132</v>
      </c>
      <c r="D52" s="20">
        <v>276</v>
      </c>
    </row>
    <row r="53" spans="1:4" x14ac:dyDescent="0.25">
      <c r="A53" s="25" t="s">
        <v>1000</v>
      </c>
      <c r="B53" s="20">
        <v>326</v>
      </c>
      <c r="C53" s="20">
        <v>63</v>
      </c>
      <c r="D53" s="20">
        <v>389</v>
      </c>
    </row>
    <row r="54" spans="1:4" x14ac:dyDescent="0.25">
      <c r="A54" s="25" t="s">
        <v>999</v>
      </c>
      <c r="B54" s="20">
        <v>129</v>
      </c>
      <c r="C54" s="20">
        <v>206</v>
      </c>
      <c r="D54" s="20">
        <v>335</v>
      </c>
    </row>
    <row r="55" spans="1:4" x14ac:dyDescent="0.25">
      <c r="A55" s="25" t="s">
        <v>1046</v>
      </c>
      <c r="B55" s="20">
        <v>599</v>
      </c>
      <c r="C55" s="20">
        <v>401</v>
      </c>
      <c r="D55" s="20">
        <v>1000</v>
      </c>
    </row>
    <row r="62" spans="1:4" x14ac:dyDescent="0.25">
      <c r="A62" s="23" t="s">
        <v>1045</v>
      </c>
      <c r="B62" t="s">
        <v>1040</v>
      </c>
    </row>
    <row r="63" spans="1:4" x14ac:dyDescent="0.25">
      <c r="A63" s="25">
        <v>0</v>
      </c>
      <c r="B63" s="20">
        <v>1</v>
      </c>
    </row>
    <row r="64" spans="1:4" x14ac:dyDescent="0.25">
      <c r="A64" s="25">
        <v>1</v>
      </c>
      <c r="B64" s="20">
        <v>5</v>
      </c>
    </row>
    <row r="65" spans="1:7" x14ac:dyDescent="0.25">
      <c r="A65" s="25">
        <v>2</v>
      </c>
      <c r="B65" s="20">
        <v>49</v>
      </c>
    </row>
    <row r="66" spans="1:7" x14ac:dyDescent="0.25">
      <c r="A66" s="25">
        <v>3</v>
      </c>
      <c r="B66" s="20">
        <v>156</v>
      </c>
    </row>
    <row r="67" spans="1:7" x14ac:dyDescent="0.25">
      <c r="A67" s="25">
        <v>4</v>
      </c>
      <c r="B67" s="20">
        <v>358</v>
      </c>
    </row>
    <row r="68" spans="1:7" x14ac:dyDescent="0.25">
      <c r="A68" s="25">
        <v>5</v>
      </c>
      <c r="B68" s="20">
        <v>245</v>
      </c>
    </row>
    <row r="69" spans="1:7" x14ac:dyDescent="0.25">
      <c r="A69" s="25" t="s">
        <v>1046</v>
      </c>
      <c r="B69" s="20">
        <v>814</v>
      </c>
    </row>
    <row r="72" spans="1:7" x14ac:dyDescent="0.25">
      <c r="A72" s="23" t="s">
        <v>1041</v>
      </c>
      <c r="B72" s="23" t="s">
        <v>1074</v>
      </c>
    </row>
    <row r="73" spans="1:7" x14ac:dyDescent="0.25">
      <c r="A73" s="23" t="s">
        <v>1045</v>
      </c>
      <c r="B73" t="s">
        <v>11</v>
      </c>
      <c r="C73" t="s">
        <v>9</v>
      </c>
      <c r="D73" t="s">
        <v>6</v>
      </c>
      <c r="E73" t="s">
        <v>13</v>
      </c>
      <c r="F73" t="s">
        <v>10</v>
      </c>
      <c r="G73" t="s">
        <v>1046</v>
      </c>
    </row>
    <row r="74" spans="1:7" x14ac:dyDescent="0.25">
      <c r="A74" s="25" t="s">
        <v>1001</v>
      </c>
    </row>
    <row r="75" spans="1:7" x14ac:dyDescent="0.25">
      <c r="A75" s="28" t="s">
        <v>20</v>
      </c>
      <c r="B75" s="21">
        <v>891</v>
      </c>
      <c r="C75" s="21">
        <v>1332</v>
      </c>
      <c r="D75" s="21">
        <v>1282</v>
      </c>
      <c r="E75" s="21">
        <v>739</v>
      </c>
      <c r="F75" s="21">
        <v>560</v>
      </c>
      <c r="G75" s="21">
        <v>4804</v>
      </c>
    </row>
    <row r="76" spans="1:7" x14ac:dyDescent="0.25">
      <c r="A76" s="28" t="s">
        <v>12</v>
      </c>
      <c r="B76" s="21">
        <v>1991</v>
      </c>
      <c r="C76" s="21">
        <v>1886</v>
      </c>
      <c r="D76" s="21">
        <v>1206</v>
      </c>
      <c r="E76" s="21">
        <v>884</v>
      </c>
      <c r="F76" s="21">
        <v>1722</v>
      </c>
      <c r="G76" s="21">
        <v>7689</v>
      </c>
    </row>
    <row r="77" spans="1:7" x14ac:dyDescent="0.25">
      <c r="A77" s="28" t="s">
        <v>8</v>
      </c>
      <c r="B77" s="21">
        <v>1163</v>
      </c>
      <c r="C77" s="21">
        <v>1180</v>
      </c>
      <c r="D77" s="21">
        <v>1616</v>
      </c>
      <c r="E77" s="21">
        <v>1043</v>
      </c>
      <c r="F77" s="21">
        <v>1747</v>
      </c>
      <c r="G77" s="21">
        <v>6749</v>
      </c>
    </row>
    <row r="78" spans="1:7" x14ac:dyDescent="0.25">
      <c r="A78" s="28" t="s">
        <v>16</v>
      </c>
      <c r="B78" s="21">
        <v>1438</v>
      </c>
      <c r="C78" s="21">
        <v>1616</v>
      </c>
      <c r="D78" s="21">
        <v>866</v>
      </c>
      <c r="E78" s="21">
        <v>829</v>
      </c>
      <c r="F78" s="21">
        <v>2070</v>
      </c>
      <c r="G78" s="21">
        <v>6819</v>
      </c>
    </row>
    <row r="79" spans="1:7" x14ac:dyDescent="0.25">
      <c r="A79" s="25" t="s">
        <v>1000</v>
      </c>
    </row>
    <row r="80" spans="1:7" x14ac:dyDescent="0.25">
      <c r="A80" s="28" t="s">
        <v>24</v>
      </c>
      <c r="B80" s="21">
        <v>1233</v>
      </c>
      <c r="C80" s="21">
        <v>223</v>
      </c>
      <c r="D80" s="21">
        <v>1680</v>
      </c>
      <c r="E80" s="21">
        <v>990</v>
      </c>
      <c r="F80" s="21">
        <v>1508</v>
      </c>
      <c r="G80" s="21">
        <v>5634</v>
      </c>
    </row>
    <row r="81" spans="1:7" x14ac:dyDescent="0.25">
      <c r="A81" s="28" t="s">
        <v>15</v>
      </c>
      <c r="B81" s="21">
        <v>1598</v>
      </c>
      <c r="C81" s="21">
        <v>1907</v>
      </c>
      <c r="D81" s="21">
        <v>869</v>
      </c>
      <c r="E81" s="21">
        <v>1426</v>
      </c>
      <c r="F81" s="21">
        <v>1416</v>
      </c>
      <c r="G81" s="21">
        <v>7216</v>
      </c>
    </row>
    <row r="82" spans="1:7" x14ac:dyDescent="0.25">
      <c r="A82" s="28" t="s">
        <v>5</v>
      </c>
      <c r="B82" s="21">
        <v>900</v>
      </c>
      <c r="C82" s="21">
        <v>1016</v>
      </c>
      <c r="D82" s="21">
        <v>960</v>
      </c>
      <c r="E82" s="21">
        <v>940</v>
      </c>
      <c r="F82" s="21">
        <v>1193</v>
      </c>
      <c r="G82" s="21">
        <v>5009</v>
      </c>
    </row>
    <row r="83" spans="1:7" x14ac:dyDescent="0.25">
      <c r="A83" s="28" t="s">
        <v>18</v>
      </c>
      <c r="B83" s="21">
        <v>900</v>
      </c>
      <c r="C83" s="21">
        <v>1470</v>
      </c>
      <c r="D83" s="21">
        <v>1617</v>
      </c>
      <c r="E83" s="21">
        <v>1314</v>
      </c>
      <c r="F83" s="21">
        <v>941</v>
      </c>
      <c r="G83" s="21">
        <v>6242</v>
      </c>
    </row>
    <row r="84" spans="1:7" x14ac:dyDescent="0.25">
      <c r="A84" s="28" t="s">
        <v>14</v>
      </c>
      <c r="B84" s="21">
        <v>1255</v>
      </c>
      <c r="C84" s="21">
        <v>516</v>
      </c>
      <c r="D84" s="21">
        <v>1874</v>
      </c>
      <c r="E84" s="21">
        <v>1863</v>
      </c>
      <c r="F84" s="21">
        <v>1722</v>
      </c>
      <c r="G84" s="21">
        <v>7230</v>
      </c>
    </row>
    <row r="85" spans="1:7" x14ac:dyDescent="0.25">
      <c r="A85" s="28" t="s">
        <v>19</v>
      </c>
      <c r="B85" s="21">
        <v>1138</v>
      </c>
      <c r="C85" s="21">
        <v>1898</v>
      </c>
      <c r="D85" s="21">
        <v>1482</v>
      </c>
      <c r="E85" s="21">
        <v>846</v>
      </c>
      <c r="F85" s="21">
        <v>1154</v>
      </c>
      <c r="G85" s="21">
        <v>6518</v>
      </c>
    </row>
    <row r="86" spans="1:7" x14ac:dyDescent="0.25">
      <c r="A86" s="25" t="s">
        <v>999</v>
      </c>
    </row>
    <row r="87" spans="1:7" x14ac:dyDescent="0.25">
      <c r="A87" s="28" t="s">
        <v>17</v>
      </c>
      <c r="B87" s="21">
        <v>1655</v>
      </c>
      <c r="C87" s="21">
        <v>805</v>
      </c>
      <c r="D87" s="21">
        <v>2263</v>
      </c>
      <c r="E87" s="21">
        <v>987</v>
      </c>
      <c r="F87" s="21">
        <v>1075</v>
      </c>
      <c r="G87" s="21">
        <v>6785</v>
      </c>
    </row>
    <row r="88" spans="1:7" x14ac:dyDescent="0.25">
      <c r="A88" s="28" t="s">
        <v>23</v>
      </c>
      <c r="B88" s="21">
        <v>1104</v>
      </c>
      <c r="C88" s="21">
        <v>2280</v>
      </c>
      <c r="D88" s="21">
        <v>1445</v>
      </c>
      <c r="E88" s="21">
        <v>1722</v>
      </c>
      <c r="F88" s="21">
        <v>1196</v>
      </c>
      <c r="G88" s="21">
        <v>7747</v>
      </c>
    </row>
    <row r="89" spans="1:7" x14ac:dyDescent="0.25">
      <c r="A89" s="28" t="s">
        <v>7</v>
      </c>
      <c r="B89" s="21">
        <v>372</v>
      </c>
      <c r="C89" s="21">
        <v>1818</v>
      </c>
      <c r="D89" s="21">
        <v>1346</v>
      </c>
      <c r="E89" s="21">
        <v>1156</v>
      </c>
      <c r="F89" s="21">
        <v>1484</v>
      </c>
      <c r="G89" s="21">
        <v>6176</v>
      </c>
    </row>
    <row r="90" spans="1:7" x14ac:dyDescent="0.25">
      <c r="A90" s="28" t="s">
        <v>22</v>
      </c>
      <c r="B90" s="21">
        <v>1415</v>
      </c>
      <c r="C90" s="21">
        <v>1271</v>
      </c>
      <c r="D90" s="21">
        <v>1214</v>
      </c>
      <c r="E90" s="21">
        <v>1135</v>
      </c>
      <c r="F90" s="21">
        <v>1566</v>
      </c>
      <c r="G90" s="21">
        <v>6601</v>
      </c>
    </row>
    <row r="91" spans="1:7" x14ac:dyDescent="0.25">
      <c r="A91" s="28" t="s">
        <v>21</v>
      </c>
      <c r="B91" s="21">
        <v>1362</v>
      </c>
      <c r="C91" s="21">
        <v>1363</v>
      </c>
      <c r="D91" s="21">
        <v>1152</v>
      </c>
      <c r="E91" s="21">
        <v>777</v>
      </c>
      <c r="F91" s="21">
        <v>750</v>
      </c>
      <c r="G91" s="21">
        <v>5404</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115" zoomScaleNormal="115" workbookViewId="0">
      <selection activeCell="R4" sqref="R4"/>
    </sheetView>
  </sheetViews>
  <sheetFormatPr defaultRowHeight="13.8" x14ac:dyDescent="0.25"/>
  <cols>
    <col min="1" max="1" width="3.19921875" customWidth="1"/>
    <col min="2" max="2" width="14.59765625" customWidth="1"/>
    <col min="3" max="3" width="12.8984375" customWidth="1"/>
    <col min="4" max="4" width="16.59765625" customWidth="1"/>
    <col min="5" max="5" width="14.8984375" customWidth="1"/>
    <col min="6" max="6" width="16" customWidth="1"/>
    <col min="7" max="7" width="17.296875" customWidth="1"/>
    <col min="8" max="8" width="18.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1002</v>
      </c>
    </row>
    <row r="2" spans="2:20" x14ac:dyDescent="0.25">
      <c r="R2" s="1"/>
    </row>
    <row r="3" spans="2:20" x14ac:dyDescent="0.25">
      <c r="B3" s="14" t="s">
        <v>25</v>
      </c>
      <c r="C3" s="14" t="s">
        <v>0</v>
      </c>
      <c r="D3" s="15" t="s">
        <v>1</v>
      </c>
      <c r="E3" s="16" t="s">
        <v>3</v>
      </c>
      <c r="F3" s="16" t="s">
        <v>4</v>
      </c>
      <c r="G3" s="14" t="s">
        <v>2</v>
      </c>
      <c r="H3" s="14" t="s">
        <v>994</v>
      </c>
      <c r="I3" t="s">
        <v>1038</v>
      </c>
      <c r="J3" t="s">
        <v>1035</v>
      </c>
      <c r="K3" t="s">
        <v>1036</v>
      </c>
      <c r="L3" t="s">
        <v>1037</v>
      </c>
      <c r="Q3" s="8" t="s">
        <v>0</v>
      </c>
      <c r="R3" s="9" t="s">
        <v>1075</v>
      </c>
      <c r="S3" s="9" t="s">
        <v>995</v>
      </c>
      <c r="T3" s="10" t="s">
        <v>996</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2AB27-4ECC-47BD-AECD-7E2A50B3880A}">
  <dimension ref="A1:AI83"/>
  <sheetViews>
    <sheetView tabSelected="1" zoomScale="66" zoomScaleNormal="66" workbookViewId="0">
      <selection activeCell="AA23" sqref="AA23"/>
    </sheetView>
  </sheetViews>
  <sheetFormatPr defaultRowHeight="13.8" x14ac:dyDescent="0.25"/>
  <cols>
    <col min="1" max="1" width="5.69921875" customWidth="1"/>
    <col min="4" max="4" width="5.09765625" customWidth="1"/>
    <col min="9" max="9" width="6.8984375" customWidth="1"/>
    <col min="17" max="17" width="2.8984375" customWidth="1"/>
    <col min="18" max="18" width="14.296875" customWidth="1"/>
    <col min="19" max="19" width="11.8984375" customWidth="1"/>
    <col min="20" max="20" width="11.5" customWidth="1"/>
    <col min="21" max="21" width="11.8984375" customWidth="1"/>
    <col min="22" max="22" width="12.59765625" customWidth="1"/>
    <col min="23" max="23" width="12.09765625" customWidth="1"/>
    <col min="24" max="24" width="12.296875" customWidth="1"/>
  </cols>
  <sheetData>
    <row r="1" spans="1:35" ht="36.6" x14ac:dyDescent="0.85">
      <c r="A1" s="24" t="s">
        <v>1039</v>
      </c>
      <c r="B1" s="41" t="s">
        <v>1077</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pans="1:35"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row>
    <row r="3" spans="1:35"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row>
    <row r="4" spans="1:35" x14ac:dyDescent="0.2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row>
    <row r="5" spans="1:35"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row>
    <row r="6" spans="1:35"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row>
    <row r="7" spans="1:35"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row>
    <row r="8" spans="1:35"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row>
    <row r="9" spans="1:35"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row>
    <row r="10" spans="1:35"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row>
    <row r="11" spans="1:35"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row>
    <row r="12" spans="1:35"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row>
    <row r="13" spans="1:35" x14ac:dyDescent="0.25">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row>
    <row r="14" spans="1:35"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row>
    <row r="15" spans="1:35"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row>
    <row r="16" spans="1:35"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row>
    <row r="17" spans="1:35" x14ac:dyDescent="0.25">
      <c r="A17" s="24"/>
      <c r="B17" s="24"/>
      <c r="C17" s="24"/>
      <c r="D17" s="24"/>
      <c r="E17" s="24"/>
      <c r="F17" s="24"/>
      <c r="G17" s="24"/>
      <c r="H17" s="24"/>
      <c r="I17" s="24"/>
      <c r="J17" s="24"/>
      <c r="K17" s="24"/>
      <c r="L17" s="24"/>
      <c r="M17" s="24"/>
      <c r="N17" s="24"/>
      <c r="O17" s="24"/>
      <c r="P17" s="24"/>
      <c r="Q17" s="24"/>
      <c r="R17" s="24" t="s">
        <v>1039</v>
      </c>
      <c r="S17" s="24"/>
      <c r="T17" s="24"/>
      <c r="U17" s="24"/>
      <c r="V17" s="24"/>
      <c r="W17" s="24"/>
      <c r="X17" s="24"/>
      <c r="Y17" s="24"/>
      <c r="Z17" s="24"/>
      <c r="AA17" s="24"/>
      <c r="AB17" s="24"/>
      <c r="AC17" s="24"/>
      <c r="AD17" s="24"/>
      <c r="AE17" s="24"/>
      <c r="AF17" s="24"/>
      <c r="AG17" s="24"/>
      <c r="AH17" s="24"/>
      <c r="AI17" s="24"/>
    </row>
    <row r="18" spans="1:35"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row>
    <row r="19" spans="1:35"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row>
    <row r="20" spans="1:35"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row>
    <row r="21" spans="1:35" x14ac:dyDescent="0.25">
      <c r="A21" s="24"/>
      <c r="B21" s="24"/>
      <c r="C21" s="24"/>
      <c r="D21" s="24"/>
      <c r="E21" s="24"/>
      <c r="F21" s="24"/>
      <c r="G21" s="24"/>
      <c r="H21" s="24"/>
      <c r="I21" s="24"/>
      <c r="J21" s="24"/>
      <c r="K21" s="24"/>
      <c r="L21" s="24"/>
      <c r="M21" s="24"/>
      <c r="N21" s="24"/>
      <c r="O21" s="24"/>
      <c r="P21" s="24"/>
      <c r="Q21" s="24"/>
      <c r="R21" s="31"/>
      <c r="S21" s="38" t="str" cm="1">
        <f t="array" ref="S21:W21">Pivots!B73:F73</f>
        <v>R01</v>
      </c>
      <c r="T21" s="38" t="str">
        <v>R02</v>
      </c>
      <c r="U21" s="38" t="str">
        <v>R03</v>
      </c>
      <c r="V21" s="38" t="str">
        <v>R04</v>
      </c>
      <c r="W21" s="38" t="str">
        <v>R05</v>
      </c>
      <c r="X21" s="39" t="s">
        <v>1076</v>
      </c>
      <c r="Y21" s="24"/>
      <c r="Z21" s="24"/>
      <c r="AA21" s="24"/>
      <c r="AB21" s="24"/>
      <c r="AC21" s="24"/>
      <c r="AD21" s="24"/>
      <c r="AE21" s="24"/>
      <c r="AF21" s="24"/>
      <c r="AG21" s="24"/>
      <c r="AH21" s="24"/>
      <c r="AI21" s="24"/>
    </row>
    <row r="22" spans="1:35" x14ac:dyDescent="0.25">
      <c r="A22" s="24"/>
      <c r="B22" s="24"/>
      <c r="C22" s="24"/>
      <c r="D22" s="24"/>
      <c r="E22" s="24"/>
      <c r="F22" s="24"/>
      <c r="G22" s="24"/>
      <c r="H22" s="24"/>
      <c r="I22" s="24"/>
      <c r="J22" s="24"/>
      <c r="K22" s="24"/>
      <c r="L22" s="24"/>
      <c r="M22" s="24"/>
      <c r="N22" s="24"/>
      <c r="O22" s="24"/>
      <c r="P22" s="24"/>
      <c r="Q22" s="24"/>
      <c r="R22" s="40" t="str" cm="1">
        <f t="array" ref="R22:X39">IF(Pivots!A74:G91="","",Pivots!A74:G91)</f>
        <v>Cincinnati</v>
      </c>
      <c r="S22" s="29" t="str">
        <v/>
      </c>
      <c r="T22" s="29" t="str">
        <v/>
      </c>
      <c r="U22" s="29" t="str">
        <v/>
      </c>
      <c r="V22" s="29" t="str">
        <v/>
      </c>
      <c r="W22" s="29" t="str">
        <v/>
      </c>
      <c r="X22" s="32" t="str">
        <v/>
      </c>
      <c r="Y22" s="24"/>
      <c r="Z22" s="24"/>
      <c r="AA22" s="24"/>
      <c r="AB22" s="24"/>
      <c r="AC22" s="24"/>
      <c r="AD22" s="24"/>
      <c r="AE22" s="24"/>
      <c r="AF22" s="24"/>
      <c r="AG22" s="24"/>
      <c r="AH22" s="24"/>
      <c r="AI22" s="24"/>
    </row>
    <row r="23" spans="1:35" x14ac:dyDescent="0.25">
      <c r="A23" s="24"/>
      <c r="B23" s="24"/>
      <c r="C23" s="24"/>
      <c r="D23" s="24"/>
      <c r="E23" s="24"/>
      <c r="F23" s="24"/>
      <c r="G23" s="24"/>
      <c r="H23" s="24"/>
      <c r="I23" s="24"/>
      <c r="J23" s="24"/>
      <c r="K23" s="24"/>
      <c r="L23" s="24"/>
      <c r="M23" s="24"/>
      <c r="N23" s="24"/>
      <c r="O23" s="24"/>
      <c r="P23" s="24"/>
      <c r="Q23" s="24"/>
      <c r="R23" s="33" t="str">
        <v>C0003</v>
      </c>
      <c r="S23" s="30">
        <v>891</v>
      </c>
      <c r="T23" s="30">
        <v>1332</v>
      </c>
      <c r="U23" s="30">
        <v>1282</v>
      </c>
      <c r="V23" s="30">
        <v>739</v>
      </c>
      <c r="W23" s="30">
        <v>560</v>
      </c>
      <c r="X23" s="34">
        <v>4804</v>
      </c>
      <c r="Y23" s="24"/>
      <c r="Z23" s="24"/>
      <c r="AA23" s="24"/>
      <c r="AB23" s="24"/>
      <c r="AC23" s="24"/>
      <c r="AD23" s="24"/>
      <c r="AE23" s="24"/>
      <c r="AF23" s="24"/>
      <c r="AG23" s="24"/>
      <c r="AH23" s="24"/>
      <c r="AI23" s="24"/>
    </row>
    <row r="24" spans="1:35" x14ac:dyDescent="0.25">
      <c r="A24" s="24"/>
      <c r="B24" s="24"/>
      <c r="C24" s="24"/>
      <c r="D24" s="24"/>
      <c r="E24" s="24"/>
      <c r="F24" s="24"/>
      <c r="G24" s="24"/>
      <c r="H24" s="24"/>
      <c r="I24" s="24"/>
      <c r="J24" s="24"/>
      <c r="K24" s="24"/>
      <c r="L24" s="24"/>
      <c r="M24" s="24"/>
      <c r="N24" s="24"/>
      <c r="O24" s="24"/>
      <c r="P24" s="24"/>
      <c r="Q24" s="24"/>
      <c r="R24" s="33" t="str">
        <v>C0004</v>
      </c>
      <c r="S24" s="30">
        <v>1991</v>
      </c>
      <c r="T24" s="30">
        <v>1886</v>
      </c>
      <c r="U24" s="30">
        <v>1206</v>
      </c>
      <c r="V24" s="30">
        <v>884</v>
      </c>
      <c r="W24" s="30">
        <v>1722</v>
      </c>
      <c r="X24" s="34">
        <v>7689</v>
      </c>
      <c r="Y24" s="24"/>
      <c r="Z24" s="24"/>
      <c r="AA24" s="24"/>
      <c r="AB24" s="24"/>
      <c r="AC24" s="24"/>
      <c r="AD24" s="24"/>
      <c r="AE24" s="24"/>
      <c r="AF24" s="24"/>
      <c r="AG24" s="24"/>
      <c r="AH24" s="24"/>
      <c r="AI24" s="24"/>
    </row>
    <row r="25" spans="1:35" x14ac:dyDescent="0.25">
      <c r="A25" s="24"/>
      <c r="B25" s="24"/>
      <c r="C25" s="24"/>
      <c r="D25" s="24"/>
      <c r="E25" s="24"/>
      <c r="F25" s="24"/>
      <c r="G25" s="24"/>
      <c r="H25" s="24"/>
      <c r="I25" s="24"/>
      <c r="J25" s="24"/>
      <c r="K25" s="24"/>
      <c r="L25" s="24"/>
      <c r="M25" s="24"/>
      <c r="N25" s="24"/>
      <c r="O25" s="24"/>
      <c r="P25" s="24"/>
      <c r="Q25" s="24"/>
      <c r="R25" s="33" t="str">
        <v>C0011</v>
      </c>
      <c r="S25" s="30">
        <v>1163</v>
      </c>
      <c r="T25" s="30">
        <v>1180</v>
      </c>
      <c r="U25" s="30">
        <v>1616</v>
      </c>
      <c r="V25" s="30">
        <v>1043</v>
      </c>
      <c r="W25" s="30">
        <v>1747</v>
      </c>
      <c r="X25" s="34">
        <v>6749</v>
      </c>
      <c r="Y25" s="24"/>
      <c r="Z25" s="24"/>
      <c r="AA25" s="24"/>
      <c r="AB25" s="24"/>
      <c r="AC25" s="24"/>
      <c r="AD25" s="24"/>
      <c r="AE25" s="24"/>
      <c r="AF25" s="24"/>
      <c r="AG25" s="24"/>
      <c r="AH25" s="24"/>
      <c r="AI25" s="24"/>
    </row>
    <row r="26" spans="1:35" x14ac:dyDescent="0.25">
      <c r="A26" s="24"/>
      <c r="B26" s="24"/>
      <c r="C26" s="24"/>
      <c r="D26" s="24"/>
      <c r="E26" s="24"/>
      <c r="F26" s="24"/>
      <c r="G26" s="24"/>
      <c r="H26" s="24"/>
      <c r="I26" s="24"/>
      <c r="J26" s="24"/>
      <c r="K26" s="24"/>
      <c r="L26" s="24"/>
      <c r="M26" s="24"/>
      <c r="N26" s="24"/>
      <c r="O26" s="24"/>
      <c r="P26" s="24"/>
      <c r="Q26" s="24"/>
      <c r="R26" s="33" t="str">
        <v>C0012</v>
      </c>
      <c r="S26" s="30">
        <v>1438</v>
      </c>
      <c r="T26" s="30">
        <v>1616</v>
      </c>
      <c r="U26" s="30">
        <v>866</v>
      </c>
      <c r="V26" s="30">
        <v>829</v>
      </c>
      <c r="W26" s="30">
        <v>2070</v>
      </c>
      <c r="X26" s="34">
        <v>6819</v>
      </c>
      <c r="Y26" s="24"/>
      <c r="Z26" s="24"/>
      <c r="AA26" s="24"/>
      <c r="AB26" s="24"/>
      <c r="AC26" s="24"/>
      <c r="AD26" s="24"/>
      <c r="AE26" s="24"/>
      <c r="AF26" s="24"/>
      <c r="AG26" s="24"/>
      <c r="AH26" s="24"/>
      <c r="AI26" s="24"/>
    </row>
    <row r="27" spans="1:35" x14ac:dyDescent="0.25">
      <c r="A27" s="24"/>
      <c r="B27" s="24"/>
      <c r="C27" s="24"/>
      <c r="D27" s="24"/>
      <c r="E27" s="24"/>
      <c r="F27" s="24"/>
      <c r="G27" s="24"/>
      <c r="H27" s="24"/>
      <c r="I27" s="24"/>
      <c r="J27" s="24"/>
      <c r="K27" s="24"/>
      <c r="L27" s="24"/>
      <c r="M27" s="24"/>
      <c r="N27" s="24"/>
      <c r="O27" s="24"/>
      <c r="P27" s="24"/>
      <c r="Q27" s="24"/>
      <c r="R27" s="40" t="str">
        <v>Cleveland</v>
      </c>
      <c r="S27" s="30" t="str">
        <v/>
      </c>
      <c r="T27" s="30" t="str">
        <v/>
      </c>
      <c r="U27" s="30" t="str">
        <v/>
      </c>
      <c r="V27" s="30" t="str">
        <v/>
      </c>
      <c r="W27" s="30" t="str">
        <v/>
      </c>
      <c r="X27" s="34" t="str">
        <v/>
      </c>
      <c r="Y27" s="24"/>
      <c r="Z27" s="24"/>
      <c r="AA27" s="24"/>
      <c r="AB27" s="24"/>
      <c r="AC27" s="24"/>
      <c r="AD27" s="24"/>
      <c r="AE27" s="24"/>
      <c r="AF27" s="24"/>
      <c r="AG27" s="24"/>
      <c r="AH27" s="24"/>
      <c r="AI27" s="24"/>
    </row>
    <row r="28" spans="1:35" x14ac:dyDescent="0.25">
      <c r="A28" s="24"/>
      <c r="B28" s="24"/>
      <c r="C28" s="24"/>
      <c r="D28" s="24"/>
      <c r="E28" s="24"/>
      <c r="F28" s="24"/>
      <c r="G28" s="24"/>
      <c r="H28" s="24"/>
      <c r="I28" s="24"/>
      <c r="J28" s="24"/>
      <c r="K28" s="24"/>
      <c r="L28" s="24"/>
      <c r="M28" s="24"/>
      <c r="N28" s="24"/>
      <c r="O28" s="24"/>
      <c r="P28" s="24"/>
      <c r="Q28" s="24"/>
      <c r="R28" s="33" t="str">
        <v>C0002</v>
      </c>
      <c r="S28" s="30">
        <v>1233</v>
      </c>
      <c r="T28" s="30">
        <v>223</v>
      </c>
      <c r="U28" s="30">
        <v>1680</v>
      </c>
      <c r="V28" s="30">
        <v>990</v>
      </c>
      <c r="W28" s="30">
        <v>1508</v>
      </c>
      <c r="X28" s="34">
        <v>5634</v>
      </c>
      <c r="Y28" s="24"/>
      <c r="Z28" s="24"/>
      <c r="AA28" s="24"/>
      <c r="AB28" s="24"/>
      <c r="AC28" s="24"/>
      <c r="AD28" s="24"/>
      <c r="AE28" s="24"/>
      <c r="AF28" s="24"/>
      <c r="AG28" s="24"/>
      <c r="AH28" s="24"/>
      <c r="AI28" s="24"/>
    </row>
    <row r="29" spans="1:35" x14ac:dyDescent="0.25">
      <c r="A29" s="24"/>
      <c r="B29" s="24"/>
      <c r="C29" s="24"/>
      <c r="D29" s="24"/>
      <c r="E29" s="24"/>
      <c r="F29" s="24"/>
      <c r="G29" s="24"/>
      <c r="H29" s="24"/>
      <c r="I29" s="24"/>
      <c r="J29" s="24"/>
      <c r="K29" s="24"/>
      <c r="L29" s="24"/>
      <c r="M29" s="24"/>
      <c r="N29" s="24"/>
      <c r="O29" s="24"/>
      <c r="P29" s="24"/>
      <c r="Q29" s="24"/>
      <c r="R29" s="33" t="str">
        <v>C0007</v>
      </c>
      <c r="S29" s="30">
        <v>1598</v>
      </c>
      <c r="T29" s="30">
        <v>1907</v>
      </c>
      <c r="U29" s="30">
        <v>869</v>
      </c>
      <c r="V29" s="30">
        <v>1426</v>
      </c>
      <c r="W29" s="30">
        <v>1416</v>
      </c>
      <c r="X29" s="34">
        <v>7216</v>
      </c>
      <c r="Y29" s="24"/>
      <c r="Z29" s="24"/>
      <c r="AA29" s="24"/>
      <c r="AB29" s="24"/>
      <c r="AC29" s="24"/>
      <c r="AD29" s="24"/>
      <c r="AE29" s="24"/>
      <c r="AF29" s="24"/>
      <c r="AG29" s="24"/>
      <c r="AH29" s="24"/>
      <c r="AI29" s="24"/>
    </row>
    <row r="30" spans="1:35" x14ac:dyDescent="0.25">
      <c r="A30" s="24"/>
      <c r="B30" s="24"/>
      <c r="C30" s="24"/>
      <c r="D30" s="24"/>
      <c r="E30" s="24"/>
      <c r="F30" s="24"/>
      <c r="G30" s="24"/>
      <c r="H30" s="24"/>
      <c r="I30" s="24"/>
      <c r="J30" s="24"/>
      <c r="K30" s="24"/>
      <c r="L30" s="24"/>
      <c r="M30" s="24"/>
      <c r="N30" s="24"/>
      <c r="O30" s="24"/>
      <c r="P30" s="24"/>
      <c r="Q30" s="24"/>
      <c r="R30" s="33" t="str">
        <v>C0008</v>
      </c>
      <c r="S30" s="30">
        <v>900</v>
      </c>
      <c r="T30" s="30">
        <v>1016</v>
      </c>
      <c r="U30" s="30">
        <v>960</v>
      </c>
      <c r="V30" s="30">
        <v>940</v>
      </c>
      <c r="W30" s="30">
        <v>1193</v>
      </c>
      <c r="X30" s="34">
        <v>5009</v>
      </c>
      <c r="Y30" s="24"/>
      <c r="Z30" s="24"/>
      <c r="AA30" s="24"/>
      <c r="AB30" s="24"/>
      <c r="AC30" s="24"/>
      <c r="AD30" s="24"/>
      <c r="AE30" s="24"/>
      <c r="AF30" s="24"/>
      <c r="AG30" s="24"/>
      <c r="AH30" s="24"/>
      <c r="AI30" s="24"/>
    </row>
    <row r="31" spans="1:35" x14ac:dyDescent="0.25">
      <c r="A31" s="24"/>
      <c r="B31" s="24"/>
      <c r="C31" s="24"/>
      <c r="D31" s="24"/>
      <c r="E31" s="24"/>
      <c r="F31" s="24"/>
      <c r="G31" s="24"/>
      <c r="H31" s="24"/>
      <c r="I31" s="24"/>
      <c r="J31" s="24"/>
      <c r="K31" s="24"/>
      <c r="L31" s="24"/>
      <c r="M31" s="24"/>
      <c r="N31" s="24"/>
      <c r="O31" s="24"/>
      <c r="P31" s="24"/>
      <c r="Q31" s="24"/>
      <c r="R31" s="33" t="str">
        <v>C0010</v>
      </c>
      <c r="S31" s="30">
        <v>900</v>
      </c>
      <c r="T31" s="30">
        <v>1470</v>
      </c>
      <c r="U31" s="30">
        <v>1617</v>
      </c>
      <c r="V31" s="30">
        <v>1314</v>
      </c>
      <c r="W31" s="30">
        <v>941</v>
      </c>
      <c r="X31" s="34">
        <v>6242</v>
      </c>
      <c r="Y31" s="24"/>
      <c r="Z31" s="24"/>
      <c r="AA31" s="24"/>
      <c r="AB31" s="24"/>
      <c r="AC31" s="24"/>
      <c r="AD31" s="24"/>
      <c r="AE31" s="24"/>
      <c r="AF31" s="24"/>
      <c r="AG31" s="24"/>
      <c r="AH31" s="24"/>
      <c r="AI31" s="24"/>
    </row>
    <row r="32" spans="1:35" x14ac:dyDescent="0.25">
      <c r="A32" s="24"/>
      <c r="B32" s="24"/>
      <c r="C32" s="24"/>
      <c r="D32" s="24"/>
      <c r="E32" s="24"/>
      <c r="F32" s="24"/>
      <c r="G32" s="24"/>
      <c r="H32" s="24"/>
      <c r="I32" s="24"/>
      <c r="J32" s="24"/>
      <c r="K32" s="24"/>
      <c r="L32" s="24"/>
      <c r="M32" s="24"/>
      <c r="N32" s="24"/>
      <c r="O32" s="24"/>
      <c r="P32" s="24"/>
      <c r="Q32" s="24"/>
      <c r="R32" s="33" t="str">
        <v>C0013</v>
      </c>
      <c r="S32" s="30">
        <v>1255</v>
      </c>
      <c r="T32" s="30">
        <v>516</v>
      </c>
      <c r="U32" s="30">
        <v>1874</v>
      </c>
      <c r="V32" s="30">
        <v>1863</v>
      </c>
      <c r="W32" s="30">
        <v>1722</v>
      </c>
      <c r="X32" s="34">
        <v>7230</v>
      </c>
      <c r="Y32" s="24"/>
      <c r="Z32" s="24"/>
      <c r="AA32" s="24"/>
      <c r="AB32" s="24"/>
      <c r="AC32" s="24"/>
      <c r="AD32" s="24"/>
      <c r="AE32" s="24"/>
      <c r="AF32" s="24"/>
      <c r="AG32" s="24"/>
      <c r="AH32" s="24"/>
      <c r="AI32" s="24"/>
    </row>
    <row r="33" spans="1:35" x14ac:dyDescent="0.25">
      <c r="A33" s="24"/>
      <c r="B33" s="24"/>
      <c r="C33" s="24"/>
      <c r="D33" s="24"/>
      <c r="E33" s="24"/>
      <c r="F33" s="24"/>
      <c r="G33" s="24"/>
      <c r="H33" s="24"/>
      <c r="I33" s="24"/>
      <c r="J33" s="24"/>
      <c r="K33" s="24"/>
      <c r="L33" s="24"/>
      <c r="M33" s="24"/>
      <c r="N33" s="24"/>
      <c r="O33" s="24"/>
      <c r="P33" s="24"/>
      <c r="Q33" s="24"/>
      <c r="R33" s="33" t="str">
        <v>C0015</v>
      </c>
      <c r="S33" s="30">
        <v>1138</v>
      </c>
      <c r="T33" s="30">
        <v>1898</v>
      </c>
      <c r="U33" s="30">
        <v>1482</v>
      </c>
      <c r="V33" s="30">
        <v>846</v>
      </c>
      <c r="W33" s="30">
        <v>1154</v>
      </c>
      <c r="X33" s="34">
        <v>6518</v>
      </c>
      <c r="Y33" s="24"/>
      <c r="Z33" s="24"/>
      <c r="AA33" s="24"/>
      <c r="AB33" s="24"/>
      <c r="AC33" s="24"/>
      <c r="AD33" s="24"/>
      <c r="AE33" s="24"/>
      <c r="AF33" s="24"/>
      <c r="AG33" s="24"/>
      <c r="AH33" s="24"/>
      <c r="AI33" s="24"/>
    </row>
    <row r="34" spans="1:35" x14ac:dyDescent="0.25">
      <c r="A34" s="24"/>
      <c r="B34" s="24"/>
      <c r="C34" s="24"/>
      <c r="D34" s="24"/>
      <c r="E34" s="24"/>
      <c r="F34" s="24"/>
      <c r="G34" s="24"/>
      <c r="H34" s="24"/>
      <c r="I34" s="24"/>
      <c r="J34" s="24"/>
      <c r="K34" s="24"/>
      <c r="L34" s="24"/>
      <c r="M34" s="24"/>
      <c r="N34" s="24"/>
      <c r="O34" s="24"/>
      <c r="P34" s="24"/>
      <c r="Q34" s="24"/>
      <c r="R34" s="40" t="str">
        <v>Columbus</v>
      </c>
      <c r="S34" s="30" t="str">
        <v/>
      </c>
      <c r="T34" s="30" t="str">
        <v/>
      </c>
      <c r="U34" s="30" t="str">
        <v/>
      </c>
      <c r="V34" s="30" t="str">
        <v/>
      </c>
      <c r="W34" s="30" t="str">
        <v/>
      </c>
      <c r="X34" s="34" t="str">
        <v/>
      </c>
      <c r="Y34" s="24"/>
      <c r="Z34" s="24"/>
      <c r="AA34" s="24"/>
      <c r="AB34" s="24"/>
      <c r="AC34" s="24"/>
      <c r="AD34" s="24"/>
      <c r="AE34" s="24"/>
      <c r="AF34" s="24"/>
      <c r="AG34" s="24"/>
      <c r="AH34" s="24"/>
      <c r="AI34" s="24"/>
    </row>
    <row r="35" spans="1:35" x14ac:dyDescent="0.25">
      <c r="A35" s="24"/>
      <c r="B35" s="24"/>
      <c r="C35" s="24"/>
      <c r="D35" s="24"/>
      <c r="E35" s="24"/>
      <c r="F35" s="24"/>
      <c r="G35" s="24"/>
      <c r="H35" s="24"/>
      <c r="I35" s="24"/>
      <c r="J35" s="24"/>
      <c r="K35" s="24"/>
      <c r="L35" s="24"/>
      <c r="M35" s="24"/>
      <c r="N35" s="24"/>
      <c r="O35" s="24"/>
      <c r="P35" s="24"/>
      <c r="Q35" s="24"/>
      <c r="R35" s="33" t="str">
        <v>C0001</v>
      </c>
      <c r="S35" s="30">
        <v>1655</v>
      </c>
      <c r="T35" s="30">
        <v>805</v>
      </c>
      <c r="U35" s="30">
        <v>2263</v>
      </c>
      <c r="V35" s="30">
        <v>987</v>
      </c>
      <c r="W35" s="30">
        <v>1075</v>
      </c>
      <c r="X35" s="34">
        <v>6785</v>
      </c>
      <c r="Y35" s="24"/>
      <c r="Z35" s="24"/>
      <c r="AA35" s="24"/>
      <c r="AB35" s="24"/>
      <c r="AC35" s="24"/>
      <c r="AD35" s="24"/>
      <c r="AE35" s="24"/>
      <c r="AF35" s="24"/>
      <c r="AG35" s="24"/>
      <c r="AH35" s="24"/>
      <c r="AI35" s="24"/>
    </row>
    <row r="36" spans="1:35" x14ac:dyDescent="0.25">
      <c r="A36" s="24"/>
      <c r="B36" s="24"/>
      <c r="C36" s="24"/>
      <c r="D36" s="24"/>
      <c r="E36" s="24"/>
      <c r="F36" s="24"/>
      <c r="G36" s="24"/>
      <c r="H36" s="24"/>
      <c r="I36" s="24"/>
      <c r="J36" s="24"/>
      <c r="K36" s="24"/>
      <c r="L36" s="24"/>
      <c r="M36" s="24"/>
      <c r="N36" s="24"/>
      <c r="O36" s="24"/>
      <c r="P36" s="24"/>
      <c r="Q36" s="24"/>
      <c r="R36" s="33" t="str">
        <v>C0005</v>
      </c>
      <c r="S36" s="30">
        <v>1104</v>
      </c>
      <c r="T36" s="30">
        <v>2280</v>
      </c>
      <c r="U36" s="30">
        <v>1445</v>
      </c>
      <c r="V36" s="30">
        <v>1722</v>
      </c>
      <c r="W36" s="30">
        <v>1196</v>
      </c>
      <c r="X36" s="34">
        <v>7747</v>
      </c>
      <c r="Y36" s="24"/>
      <c r="Z36" s="24"/>
      <c r="AA36" s="24"/>
      <c r="AB36" s="24"/>
      <c r="AC36" s="24"/>
      <c r="AD36" s="24"/>
      <c r="AE36" s="24"/>
      <c r="AF36" s="24"/>
      <c r="AG36" s="24"/>
      <c r="AH36" s="24"/>
      <c r="AI36" s="24"/>
    </row>
    <row r="37" spans="1:35" x14ac:dyDescent="0.25">
      <c r="A37" s="24"/>
      <c r="B37" s="24"/>
      <c r="C37" s="24"/>
      <c r="D37" s="24"/>
      <c r="E37" s="24"/>
      <c r="F37" s="24"/>
      <c r="G37" s="24"/>
      <c r="H37" s="24"/>
      <c r="I37" s="24"/>
      <c r="J37" s="24"/>
      <c r="K37" s="24"/>
      <c r="L37" s="24"/>
      <c r="M37" s="24"/>
      <c r="N37" s="24"/>
      <c r="O37" s="24"/>
      <c r="P37" s="24"/>
      <c r="Q37" s="24"/>
      <c r="R37" s="33" t="str">
        <v>C0006</v>
      </c>
      <c r="S37" s="30">
        <v>372</v>
      </c>
      <c r="T37" s="30">
        <v>1818</v>
      </c>
      <c r="U37" s="30">
        <v>1346</v>
      </c>
      <c r="V37" s="30">
        <v>1156</v>
      </c>
      <c r="W37" s="30">
        <v>1484</v>
      </c>
      <c r="X37" s="34">
        <v>6176</v>
      </c>
      <c r="Y37" s="24"/>
      <c r="Z37" s="24"/>
      <c r="AA37" s="24"/>
      <c r="AB37" s="24"/>
      <c r="AC37" s="24"/>
      <c r="AD37" s="24"/>
      <c r="AE37" s="24"/>
      <c r="AF37" s="24"/>
      <c r="AG37" s="24"/>
      <c r="AH37" s="24"/>
      <c r="AI37" s="24"/>
    </row>
    <row r="38" spans="1:35" x14ac:dyDescent="0.25">
      <c r="A38" s="24"/>
      <c r="B38" s="24"/>
      <c r="C38" s="24"/>
      <c r="D38" s="24"/>
      <c r="E38" s="24"/>
      <c r="F38" s="24"/>
      <c r="G38" s="24"/>
      <c r="H38" s="24"/>
      <c r="I38" s="24"/>
      <c r="J38" s="24"/>
      <c r="K38" s="24"/>
      <c r="L38" s="24"/>
      <c r="M38" s="24"/>
      <c r="N38" s="24"/>
      <c r="O38" s="24"/>
      <c r="P38" s="24"/>
      <c r="Q38" s="24"/>
      <c r="R38" s="33" t="str">
        <v>C0009</v>
      </c>
      <c r="S38" s="30">
        <v>1415</v>
      </c>
      <c r="T38" s="30">
        <v>1271</v>
      </c>
      <c r="U38" s="30">
        <v>1214</v>
      </c>
      <c r="V38" s="30">
        <v>1135</v>
      </c>
      <c r="W38" s="30">
        <v>1566</v>
      </c>
      <c r="X38" s="34">
        <v>6601</v>
      </c>
      <c r="Y38" s="24"/>
      <c r="Z38" s="24"/>
      <c r="AA38" s="24"/>
      <c r="AB38" s="24"/>
      <c r="AC38" s="24"/>
      <c r="AD38" s="24"/>
      <c r="AE38" s="24"/>
      <c r="AF38" s="24"/>
      <c r="AG38" s="24"/>
      <c r="AH38" s="24"/>
      <c r="AI38" s="24"/>
    </row>
    <row r="39" spans="1:35" x14ac:dyDescent="0.25">
      <c r="A39" s="24"/>
      <c r="B39" s="24"/>
      <c r="C39" s="24"/>
      <c r="D39" s="24"/>
      <c r="E39" s="24"/>
      <c r="F39" s="24"/>
      <c r="G39" s="24"/>
      <c r="H39" s="24"/>
      <c r="I39" s="24"/>
      <c r="J39" s="24"/>
      <c r="K39" s="24"/>
      <c r="L39" s="24"/>
      <c r="M39" s="24"/>
      <c r="N39" s="24"/>
      <c r="O39" s="24"/>
      <c r="P39" s="24"/>
      <c r="Q39" s="24"/>
      <c r="R39" s="35" t="str">
        <v>C0014</v>
      </c>
      <c r="S39" s="36">
        <v>1362</v>
      </c>
      <c r="T39" s="36">
        <v>1363</v>
      </c>
      <c r="U39" s="36">
        <v>1152</v>
      </c>
      <c r="V39" s="36">
        <v>777</v>
      </c>
      <c r="W39" s="36">
        <v>750</v>
      </c>
      <c r="X39" s="37">
        <v>5404</v>
      </c>
      <c r="Y39" s="24"/>
      <c r="Z39" s="24"/>
      <c r="AA39" s="24"/>
      <c r="AB39" s="24"/>
      <c r="AC39" s="24"/>
      <c r="AD39" s="24"/>
      <c r="AE39" s="24"/>
      <c r="AF39" s="24"/>
      <c r="AG39" s="24"/>
      <c r="AH39" s="24"/>
      <c r="AI39" s="24"/>
    </row>
    <row r="40" spans="1:35"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row>
    <row r="41" spans="1:35"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row>
    <row r="42" spans="1:35"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row>
    <row r="43" spans="1:35"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row>
    <row r="44" spans="1:35"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row>
    <row r="45" spans="1:35" x14ac:dyDescent="0.2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row>
    <row r="46" spans="1:35"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row>
    <row r="47" spans="1:35"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row>
    <row r="48" spans="1:35"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row>
    <row r="49" spans="1:35"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row>
    <row r="50" spans="1:35"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row>
    <row r="51" spans="1:35"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row>
    <row r="52" spans="1:35"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row>
    <row r="53" spans="1:35"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row>
    <row r="54" spans="1:35"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row>
    <row r="55" spans="1:35"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row>
    <row r="56" spans="1:35"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row>
    <row r="57" spans="1:35"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row>
    <row r="58" spans="1:35"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row>
    <row r="59" spans="1:35"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row>
    <row r="60" spans="1:35"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row>
    <row r="61" spans="1:35"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row>
    <row r="62" spans="1:35"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row>
    <row r="63" spans="1:35"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row>
    <row r="64" spans="1:35"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row>
    <row r="65" spans="1:35"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row>
    <row r="66" spans="1:35"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row>
    <row r="67" spans="1:35"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row>
    <row r="68" spans="1:35"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row>
    <row r="69" spans="1:35"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row>
    <row r="70" spans="1:35" x14ac:dyDescent="0.2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row>
    <row r="71" spans="1:35"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row>
    <row r="72" spans="1:35"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row>
    <row r="73" spans="1:35"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row>
    <row r="74" spans="1:35"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row>
    <row r="75" spans="1:35"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row>
    <row r="76" spans="1:35"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row>
    <row r="77" spans="1:35"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row>
    <row r="78" spans="1:35"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row>
    <row r="79" spans="1:35"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row>
    <row r="80" spans="1:35"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row>
    <row r="81" spans="1:35"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row>
    <row r="82" spans="1:35"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row>
    <row r="83" spans="1:35"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row>
  </sheetData>
  <phoneticPr fontId="2" type="noConversion"/>
  <conditionalFormatting sqref="S22:W39">
    <cfRule type="dataBar" priority="2">
      <dataBar>
        <cfvo type="num" val="0"/>
        <cfvo type="formula" val="MAX($S$22:$W$39)*2"/>
        <color theme="1" tint="0.34998626667073579"/>
      </dataBar>
      <extLst>
        <ext xmlns:x14="http://schemas.microsoft.com/office/spreadsheetml/2009/9/main" uri="{B025F937-C7B1-47D3-B67F-A62EFF666E3E}">
          <x14:id>{B01237D9-9734-4C67-88CF-849C423C72D2}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01237D9-9734-4C67-88CF-849C423C72D2}">
            <x14:dataBar minLength="0" maxLength="100" gradient="0">
              <x14:cfvo type="num">
                <xm:f>0</xm:f>
              </x14:cfvo>
              <x14:cfvo type="formula">
                <xm:f>MAX($S$22:$W$39)*2</xm:f>
              </x14:cfvo>
              <x14:negativeFillColor rgb="FFFF0000"/>
              <x14:axisColor rgb="FF000000"/>
            </x14:dataBar>
          </x14:cfRule>
          <xm:sqref>S22:W39</xm:sqref>
        </x14:conditionalFormatting>
        <x14:conditionalFormatting xmlns:xm="http://schemas.microsoft.com/office/excel/2006/main">
          <x14:cfRule type="expression" priority="1" id="{BC3025E0-963C-476C-95FE-50951A03F370}">
            <xm:f>S$21=Pivots!$C$45</xm:f>
            <x14:dxf>
              <fill>
                <patternFill>
                  <bgColor theme="8" tint="0.39994506668294322"/>
                </patternFill>
              </fill>
              <border>
                <left style="thin">
                  <color theme="1" tint="0.34998626667073579"/>
                </left>
                <right style="thin">
                  <color theme="1" tint="0.34998626667073579"/>
                </right>
                <vertical/>
                <horizontal/>
              </border>
            </x14:dxf>
          </x14:cfRule>
          <xm:sqref>S21:W39</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SERJIN HUBERT</cp:lastModifiedBy>
  <dcterms:created xsi:type="dcterms:W3CDTF">2021-03-14T20:21:32Z</dcterms:created>
  <dcterms:modified xsi:type="dcterms:W3CDTF">2025-11-20T20:00:23Z</dcterms:modified>
</cp:coreProperties>
</file>